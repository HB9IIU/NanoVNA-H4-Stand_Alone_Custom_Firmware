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5d564ce38343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F Bands 40m–10m" sheetId="1" r:id="R38f4f66b292f4405"/>
    <x:sheet xmlns:r="http://schemas.openxmlformats.org/officeDocument/2006/relationships" name="Readme" sheetId="2" r:id="R11559de121c44a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  <x:family val="2"/>
      <x:scheme val="minor"/>
    </x:font>
    <x:font>
      <x:b/>
      <x:color rgb="00FFFFFF"/>
    </x:font>
    <x:font>
      <x:b/>
      <x:sz val="14"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2" borderId="0" xfId="0" applyAlignment="1">
      <x:alignment horizontal="center" vertical="center" wrapText="1"/>
    </x:xf>
    <x:xf numFmtId="0" fontId="0" fillId="0" borderId="0" xfId="0" applyAlignment="1">
      <x:alignment horizontal="left" vertical="center"/>
    </x:xf>
    <x:xf numFmtId="3" fontId="0" fillId="0" borderId="0" xfId="0" applyAlignment="1">
      <x:alignment horizontal="right" vertical="center"/>
    </x:xf>
    <x:xf numFmtId="0" fontId="0" fillId="0" borderId="0" xfId="0" applyAlignment="1">
      <x:alignment horizontal="left" vertical="top" wrapText="1"/>
    </x:xf>
    <x:xf numFmtId="0" fontId="2" fillId="0" borderId="0" xfId="0"/>
    <x:xf numFmtId="0" fontId="0" fillId="0" borderId="0" xfId="0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11851567fa425e" /><Relationship Type="http://schemas.openxmlformats.org/officeDocument/2006/relationships/theme" Target="/xl/theme/theme1.xml" Id="R697b8a62a6cf4eab" /><Relationship Type="http://schemas.openxmlformats.org/officeDocument/2006/relationships/sharedStrings" Target="/xl/sharedStrings.xml" Id="R386c2d3459e04c38" /><Relationship Type="http://schemas.openxmlformats.org/officeDocument/2006/relationships/worksheet" Target="/xl/worksheets/sheet1.xml" Id="R38f4f66b292f4405" /><Relationship Type="http://schemas.openxmlformats.org/officeDocument/2006/relationships/worksheet" Target="/xl/worksheets/sheet2.xml" Id="R11559de121c44a28" /></Relationships>
</file>

<file path=xl/tables/table1.xml><?xml version="1.0" encoding="utf-8"?>
<x:table xmlns:x="http://schemas.openxmlformats.org/spreadsheetml/2006/main" id="1" name="HF_Bands_40m_10m" displayName="HF_Bands_40m_10m" ref="A1:O8" headerRowCount="1">
  <x:autoFilter ref="A1:O8"/>
  <x:tableColumns count="15">
    <x:tableColumn id="1" name="Band"/>
    <x:tableColumn id="2" name="Start Hz (Region 1)"/>
    <x:tableColumn id="3" name="Stop Hz (Region 1)"/>
    <x:tableColumn id="4" name="Span Hz (Region 1)"/>
    <x:tableColumn id="5" name="Step Hz (401 pts) (Region 1)"/>
    <x:tableColumn id="6" name="Start Hz (Region 2)"/>
    <x:tableColumn id="7" name="Stop Hz (Region 2)"/>
    <x:tableColumn id="8" name="Span Hz (Region 2)"/>
    <x:tableColumn id="9" name="Step Hz (401 pts) (Region 2)"/>
    <x:tableColumn id="10" name="Start Hz (Region 3)"/>
    <x:tableColumn id="11" name="Stop Hz (Region 3)"/>
    <x:tableColumn id="12" name="Span Hz (Region 3)"/>
    <x:tableColumn id="13" name="Step Hz (401 pts) (Region 3)"/>
    <x:tableColumn id="14" name="Notes"/>
    <x:tableColumn id="15" name="Source"/>
  </x:tableColumns>
  <x:tableStyleInfo name="TableStyleMedium9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176d315c50542d4" /></Relationships>
</file>

<file path=xl/worksheets/sheet1.xml><?xml version="1.0" encoding="utf-8"?>
<x:worksheet xmlns:x="http://schemas.openxmlformats.org/spreadsheetml/2006/main">
  <x:sheetFormatPr defaultRowHeight="15"/>
  <x:cols>
    <x:col min="1" max="1" width="8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45" customWidth="1"/>
    <x:col min="15" max="15" width="65" customWidth="1"/>
  </x:cols>
  <x:sheetData>
    <x:row r="1" ht="30" customHeight="1">
      <x:c r="A1" s="1" t="inlineStr">
        <x:is>
          <x:t xml:space="preserve">Band</x:t>
        </x:is>
      </x:c>
      <x:c r="B1" s="1" t="inlineStr">
        <x:is>
          <x:t xml:space="preserve">Start Hz (Region 1)</x:t>
        </x:is>
      </x:c>
      <x:c r="C1" s="1" t="inlineStr">
        <x:is>
          <x:t xml:space="preserve">Stop Hz (Region 1)</x:t>
        </x:is>
      </x:c>
      <x:c r="D1" t="inlineStr">
        <x:is>
          <x:t xml:space="preserve">Span Hz (Region 1)</x:t>
        </x:is>
      </x:c>
      <x:c r="E1" t="inlineStr">
        <x:is>
          <x:t xml:space="preserve">Step Hz (401 pts) (Region 1)</x:t>
        </x:is>
      </x:c>
      <x:c r="F1" s="1" t="inlineStr">
        <x:is>
          <x:t xml:space="preserve">Start Hz (Region 2)</x:t>
        </x:is>
      </x:c>
      <x:c r="G1" s="1" t="inlineStr">
        <x:is>
          <x:t xml:space="preserve">Stop Hz (Region 2)</x:t>
        </x:is>
      </x:c>
      <x:c r="H1" t="inlineStr">
        <x:is>
          <x:t xml:space="preserve">Span Hz (Region 2)</x:t>
        </x:is>
      </x:c>
      <x:c r="I1" t="inlineStr">
        <x:is>
          <x:t xml:space="preserve">Step Hz (401 pts) (Region 2)</x:t>
        </x:is>
      </x:c>
      <x:c r="J1" s="1" t="inlineStr">
        <x:is>
          <x:t xml:space="preserve">Start Hz (Region 3)</x:t>
        </x:is>
      </x:c>
      <x:c r="K1" s="1" t="inlineStr">
        <x:is>
          <x:t xml:space="preserve">Stop Hz (Region 3)</x:t>
        </x:is>
      </x:c>
      <x:c r="L1" t="inlineStr">
        <x:is>
          <x:t xml:space="preserve">Span Hz (Region 3)</x:t>
        </x:is>
      </x:c>
      <x:c r="M1" t="inlineStr">
        <x:is>
          <x:t xml:space="preserve">Step Hz (401 pts) (Region 3)</x:t>
        </x:is>
      </x:c>
      <x:c r="N1" s="1" t="inlineStr">
        <x:is>
          <x:t xml:space="preserve">Notes</x:t>
        </x:is>
      </x:c>
      <x:c r="O1" s="1" t="inlineStr">
        <x:is>
          <x:t xml:space="preserve">Source</x:t>
        </x:is>
      </x:c>
    </x:row>
    <x:row r="2">
      <x:c r="A2" s="2" t="inlineStr">
        <x:is>
          <x:t xml:space="preserve">40 m</x:t>
        </x:is>
      </x:c>
      <x:c r="B2" s="3" t="n">
        <x:v>7000000</x:v>
      </x:c>
      <x:c r="C2" s="3" t="n">
        <x:v>7200000</x:v>
      </x:c>
      <x:c r="D2" s="3">
        <x:f>C2-B2</x:f>
        <x:v>200000</x:v>
      </x:c>
      <x:c r="E2" s="3">
        <x:f>D2/400</x:f>
        <x:v>500</x:v>
      </x:c>
      <x:c r="F2" s="3" t="n">
        <x:v>7000000</x:v>
      </x:c>
      <x:c r="G2" s="3" t="n">
        <x:v>7300000</x:v>
      </x:c>
      <x:c r="H2" s="3">
        <x:f>G2-F2</x:f>
        <x:v>300000</x:v>
      </x:c>
      <x:c r="I2" s="3">
        <x:f>H2/400</x:f>
        <x:v>750</x:v>
      </x:c>
      <x:c r="J2" s="3" t="n">
        <x:v>7000000</x:v>
      </x:c>
      <x:c r="K2" s="3" t="n">
        <x:v>7200000</x:v>
      </x:c>
      <x:c r="L2" s="3">
        <x:f>K2-J2</x:f>
        <x:v>200000</x:v>
      </x:c>
      <x:c r="M2" s="3">
        <x:f>L2/400</x:f>
        <x:v>500</x:v>
      </x:c>
      <x:c r="N2" s="4" t="inlineStr">
        <x:is>
          <x:t xml:space="preserve">40 m differs by ITU region (R2 extends to 7.3 MHz).</x:t>
        </x:is>
      </x:c>
      <x:c r="O2" s="4" t="inlineStr">
        <x:is>
          <x:t xml:space="preserve">https://www.iaru.org/wp-content/uploads/2020/01/Amateur-Services-Spectrum-2020_.pdf</x:t>
        </x:is>
      </x:c>
    </x:row>
    <x:row r="3">
      <x:c r="A3" s="2" t="inlineStr">
        <x:is>
          <x:t xml:space="preserve">30 m</x:t>
        </x:is>
      </x:c>
      <x:c r="B3" s="3" t="n">
        <x:v>10100000</x:v>
      </x:c>
      <x:c r="C3" s="3" t="n">
        <x:v>10150000</x:v>
      </x:c>
      <x:c r="D3" s="3">
        <x:f>C3-B3</x:f>
        <x:v>50000</x:v>
      </x:c>
      <x:c r="E3" s="3">
        <x:f>D3/400</x:f>
        <x:v>125</x:v>
      </x:c>
      <x:c r="F3" s="3" t="n">
        <x:v>10100000</x:v>
      </x:c>
      <x:c r="G3" s="3" t="n">
        <x:v>10150000</x:v>
      </x:c>
      <x:c r="H3" s="3">
        <x:f>G3-F3</x:f>
        <x:v>50000</x:v>
      </x:c>
      <x:c r="I3" s="3">
        <x:f>H3/400</x:f>
        <x:v>125</x:v>
      </x:c>
      <x:c r="J3" s="3" t="n">
        <x:v>10100000</x:v>
      </x:c>
      <x:c r="K3" s="3" t="n">
        <x:v>10150000</x:v>
      </x:c>
      <x:c r="L3" s="3">
        <x:f>K3-J3</x:f>
        <x:v>50000</x:v>
      </x:c>
      <x:c r="M3" s="3">
        <x:f>L3/400</x:f>
        <x:v>125</x:v>
      </x:c>
      <x:c r="N3" s="4" t="inlineStr">
        <x:is>
          <x:t xml:space="preserve">WARC band.</x:t>
        </x:is>
      </x:c>
      <x:c r="O3" s="4" t="inlineStr">
        <x:is>
          <x:t xml:space="preserve">https://www.iaru.org/wp-content/uploads/2020/01/Amateur-Services-Spectrum-2020_.pdf</x:t>
        </x:is>
      </x:c>
    </x:row>
    <x:row r="4">
      <x:c r="A4" s="2" t="inlineStr">
        <x:is>
          <x:t xml:space="preserve">20 m</x:t>
        </x:is>
      </x:c>
      <x:c r="B4" s="3" t="n">
        <x:v>14000000</x:v>
      </x:c>
      <x:c r="C4" s="3" t="n">
        <x:v>14350000</x:v>
      </x:c>
      <x:c r="D4" s="3">
        <x:f>C4-B4</x:f>
        <x:v>350000</x:v>
      </x:c>
      <x:c r="E4" s="3">
        <x:f>D4/400</x:f>
        <x:v>875</x:v>
      </x:c>
      <x:c r="F4" s="3" t="n">
        <x:v>14000000</x:v>
      </x:c>
      <x:c r="G4" s="3" t="n">
        <x:v>14350000</x:v>
      </x:c>
      <x:c r="H4" s="3">
        <x:f>G4-F4</x:f>
        <x:v>350000</x:v>
      </x:c>
      <x:c r="I4" s="3">
        <x:f>H4/400</x:f>
        <x:v>875</x:v>
      </x:c>
      <x:c r="J4" s="3" t="n">
        <x:v>14000000</x:v>
      </x:c>
      <x:c r="K4" s="3" t="n">
        <x:v>14350000</x:v>
      </x:c>
      <x:c r="L4" s="3">
        <x:f>K4-J4</x:f>
        <x:v>350000</x:v>
      </x:c>
      <x:c r="M4" s="3">
        <x:f>L4/400</x:f>
        <x:v>875</x:v>
      </x:c>
      <x:c r="N4" s="4" t="inlineStr">
        <x:is>
          <x:t xml:space="preserve"/>
        </x:is>
      </x:c>
      <x:c r="O4" s="4" t="inlineStr">
        <x:is>
          <x:t xml:space="preserve">https://www.iaru.org/wp-content/uploads/2020/01/Amateur-Services-Spectrum-2020_.pdf</x:t>
        </x:is>
      </x:c>
    </x:row>
    <x:row r="5">
      <x:c r="A5" s="2" t="inlineStr">
        <x:is>
          <x:t xml:space="preserve">17 m</x:t>
        </x:is>
      </x:c>
      <x:c r="B5" s="3" t="n">
        <x:v>18068000</x:v>
      </x:c>
      <x:c r="C5" s="3" t="n">
        <x:v>18168000</x:v>
      </x:c>
      <x:c r="D5" s="3">
        <x:f>C5-B5</x:f>
        <x:v>100000</x:v>
      </x:c>
      <x:c r="E5" s="3">
        <x:f>D5/400</x:f>
        <x:v>250</x:v>
      </x:c>
      <x:c r="F5" s="3" t="n">
        <x:v>18068000</x:v>
      </x:c>
      <x:c r="G5" s="3" t="n">
        <x:v>18168000</x:v>
      </x:c>
      <x:c r="H5" s="3">
        <x:f>G5-F5</x:f>
        <x:v>100000</x:v>
      </x:c>
      <x:c r="I5" s="3">
        <x:f>H5/400</x:f>
        <x:v>250</x:v>
      </x:c>
      <x:c r="J5" s="3" t="n">
        <x:v>18068000</x:v>
      </x:c>
      <x:c r="K5" s="3" t="n">
        <x:v>18168000</x:v>
      </x:c>
      <x:c r="L5" s="3">
        <x:f>K5-J5</x:f>
        <x:v>100000</x:v>
      </x:c>
      <x:c r="M5" s="3">
        <x:f>L5/400</x:f>
        <x:v>250</x:v>
      </x:c>
      <x:c r="N5" s="4" t="inlineStr">
        <x:is>
          <x:t xml:space="preserve">WARC band.</x:t>
        </x:is>
      </x:c>
      <x:c r="O5" s="4" t="inlineStr">
        <x:is>
          <x:t xml:space="preserve">https://www.iaru.org/wp-content/uploads/2020/01/Amateur-Services-Spectrum-2020_.pdf</x:t>
        </x:is>
      </x:c>
    </x:row>
    <x:row r="6">
      <x:c r="A6" s="2" t="inlineStr">
        <x:is>
          <x:t xml:space="preserve">15 m</x:t>
        </x:is>
      </x:c>
      <x:c r="B6" s="3" t="n">
        <x:v>21000000</x:v>
      </x:c>
      <x:c r="C6" s="3" t="n">
        <x:v>21450000</x:v>
      </x:c>
      <x:c r="D6" s="3">
        <x:f>C6-B6</x:f>
        <x:v>450000</x:v>
      </x:c>
      <x:c r="E6" s="3">
        <x:f>D6/400</x:f>
        <x:v>1125</x:v>
      </x:c>
      <x:c r="F6" s="3" t="n">
        <x:v>21000000</x:v>
      </x:c>
      <x:c r="G6" s="3" t="n">
        <x:v>21450000</x:v>
      </x:c>
      <x:c r="H6" s="3">
        <x:f>G6-F6</x:f>
        <x:v>450000</x:v>
      </x:c>
      <x:c r="I6" s="3">
        <x:f>H6/400</x:f>
        <x:v>1125</x:v>
      </x:c>
      <x:c r="J6" s="3" t="n">
        <x:v>21000000</x:v>
      </x:c>
      <x:c r="K6" s="3" t="n">
        <x:v>21450000</x:v>
      </x:c>
      <x:c r="L6" s="3">
        <x:f>K6-J6</x:f>
        <x:v>450000</x:v>
      </x:c>
      <x:c r="M6" s="3">
        <x:f>L6/400</x:f>
        <x:v>1125</x:v>
      </x:c>
      <x:c r="N6" s="4" t="inlineStr">
        <x:is>
          <x:t xml:space="preserve"/>
        </x:is>
      </x:c>
      <x:c r="O6" s="4" t="inlineStr">
        <x:is>
          <x:t xml:space="preserve">https://www.iaru.org/wp-content/uploads/2020/01/Amateur-Services-Spectrum-2020_.pdf</x:t>
        </x:is>
      </x:c>
    </x:row>
    <x:row r="7">
      <x:c r="A7" s="2" t="inlineStr">
        <x:is>
          <x:t xml:space="preserve">12 m</x:t>
        </x:is>
      </x:c>
      <x:c r="B7" s="3" t="n">
        <x:v>24890000</x:v>
      </x:c>
      <x:c r="C7" s="3" t="n">
        <x:v>24990000</x:v>
      </x:c>
      <x:c r="D7" s="3">
        <x:f>C7-B7</x:f>
        <x:v>100000</x:v>
      </x:c>
      <x:c r="E7" s="3">
        <x:f>D7/400</x:f>
        <x:v>250</x:v>
      </x:c>
      <x:c r="F7" s="3" t="n">
        <x:v>24890000</x:v>
      </x:c>
      <x:c r="G7" s="3" t="n">
        <x:v>24990000</x:v>
      </x:c>
      <x:c r="H7" s="3">
        <x:f>G7-F7</x:f>
        <x:v>100000</x:v>
      </x:c>
      <x:c r="I7" s="3">
        <x:f>H7/400</x:f>
        <x:v>250</x:v>
      </x:c>
      <x:c r="J7" s="3" t="n">
        <x:v>24890000</x:v>
      </x:c>
      <x:c r="K7" s="3" t="n">
        <x:v>24990000</x:v>
      </x:c>
      <x:c r="L7" s="3">
        <x:f>K7-J7</x:f>
        <x:v>100000</x:v>
      </x:c>
      <x:c r="M7" s="3">
        <x:f>L7/400</x:f>
        <x:v>250</x:v>
      </x:c>
      <x:c r="N7" s="4" t="inlineStr">
        <x:is>
          <x:t xml:space="preserve">WARC band.</x:t>
        </x:is>
      </x:c>
      <x:c r="O7" s="4" t="inlineStr">
        <x:is>
          <x:t xml:space="preserve">https://www.iaru.org/wp-content/uploads/2020/01/Amateur-Services-Spectrum-2020_.pdf</x:t>
        </x:is>
      </x:c>
    </x:row>
    <x:row r="8">
      <x:c r="A8" s="2" t="inlineStr">
        <x:is>
          <x:t xml:space="preserve">10 m</x:t>
        </x:is>
      </x:c>
      <x:c r="B8" s="3" t="n">
        <x:v>28000000</x:v>
      </x:c>
      <x:c r="C8" s="3" t="n">
        <x:v>29700000</x:v>
      </x:c>
      <x:c r="D8" s="3">
        <x:f>C8-B8</x:f>
        <x:v>1700000</x:v>
      </x:c>
      <x:c r="E8" s="3">
        <x:f>D8/400</x:f>
        <x:v>4250</x:v>
      </x:c>
      <x:c r="F8" s="3" t="n">
        <x:v>28000000</x:v>
      </x:c>
      <x:c r="G8" s="3" t="n">
        <x:v>29700000</x:v>
      </x:c>
      <x:c r="H8" s="3">
        <x:f>G8-F8</x:f>
        <x:v>1700000</x:v>
      </x:c>
      <x:c r="I8" s="3">
        <x:f>H8/400</x:f>
        <x:v>4250</x:v>
      </x:c>
      <x:c r="J8" s="3" t="n">
        <x:v>28000000</x:v>
      </x:c>
      <x:c r="K8" s="3" t="n">
        <x:v>29700000</x:v>
      </x:c>
      <x:c r="L8" s="3">
        <x:f>K8-J8</x:f>
        <x:v>1700000</x:v>
      </x:c>
      <x:c r="M8" s="3">
        <x:f>L8/400</x:f>
        <x:v>4250</x:v>
      </x:c>
      <x:c r="N8" s="4" t="inlineStr">
        <x:is>
          <x:t xml:space="preserve"/>
        </x:is>
      </x:c>
      <x:c r="O8" s="4" t="inlineStr">
        <x:is>
          <x:t xml:space="preserve">https://www.iaru.org/wp-content/uploads/2020/01/Amateur-Services-Spectrum-2020_.pdf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3176d315c50542d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10" customWidth="1"/>
  </x:cols>
  <x:sheetData>
    <x:row r="1">
      <x:c r="A1" s="5" t="inlineStr">
        <x:is>
          <x:t xml:space="preserve">Ham radio HF band edges (40 m to 10 m)</x:t>
        </x:is>
      </x:c>
    </x:row>
    <x:row r="3">
      <x:c r="A3" s="6" t="inlineStr">
        <x:is>
          <x:t xml:space="preserve">This workbook lists the ITU Region 1/2/3 band edge frequencies in Hz for the amateur service.</x:t>
        </x:is>
      </x:c>
    </x:row>
    <x:row r="4">
      <x:c r="A4" s="6" t="inlineStr">
        <x:is>
          <x:t xml:space="preserve">Band edges sourced from the IARU document 'Amateur and Amateur-Satellite Service Spectrum' (January 2020).</x:t>
        </x:is>
      </x:c>
    </x:row>
    <x:row r="5">
      <x:c r="A5" s="6" t="inlineStr">
        <x:is>
          <x:t xml:space="preserve">Source: https://www.iaru.org/wp-content/uploads/2020/01/Amateur-Services-Spectrum-2020_.pdf</x:t>
        </x:is>
      </x:c>
    </x:row>
    <x:row r="6">
      <x:c r="A6" s="6" t="n"/>
    </x:row>
    <x:row r="7">
      <x:c r="A7" s="6" t="inlineStr">
        <x:is>
          <x:t xml:space="preserve">Notes:</x:t>
        </x:is>
      </x:c>
    </x:row>
    <x:row r="8">
      <x:c r="A8" s="6" t="inlineStr">
        <x:is>
          <x:t xml:space="preserve">• Only band-edge limits are included (not sub-bands / mode segments).</x:t>
        </x:is>
      </x:c>
    </x:row>
    <x:row r="9">
      <x:c r="A9" s="6" t="inlineStr">
        <x:is>
          <x:t xml:space="preserve">• National regulations may be narrower; always verify your local allocations.</x:t>
        </x:is>
      </x:c>
    </x:row>
    <x:row r="11">
      <x:c r="A11" t="inlineStr">
        <x:is>
          <x:t xml:space="preserve">Sweep step size notes:</x:t>
        </x:is>
      </x:c>
    </x:row>
    <x:row r="12">
      <x:c r="A12" t="inlineStr">
        <x:is>
          <x:t xml:space="preserve">• Step Hz columns assume a 401-point sweep (400 intervals): step = (stop - start) / 400.</x:t>
        </x:is>
      </x:c>
    </x:row>
    <x:row r="13">
      <x:c r="A13" t="inlineStr">
        <x:is>
          <x:t xml:space="preserve">• If you use a different point count N, use: step = (stop - start) / (N - 1).</x:t>
        </x:is>
      </x:c>
    </x:row>
  </x:sheetData>
  <x:pageMargins left="0.7" right="0.7" top="0.75" bottom="0.75" header="0.3" footer="0.3"/>
</x:worksheet>
</file>