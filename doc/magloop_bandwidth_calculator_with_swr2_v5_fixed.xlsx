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staempfli/NextCloudwithHenryk/00_NanoVNA_Custom/NanoVNA-H4/doc/"/>
    </mc:Choice>
  </mc:AlternateContent>
  <xr:revisionPtr revIDLastSave="0" documentId="13_ncr:1_{59B29C2E-D8F6-9745-9042-811A9D57309F}" xr6:coauthVersionLast="47" xr6:coauthVersionMax="47" xr10:uidLastSave="{00000000-0000-0000-0000-000000000000}"/>
  <bookViews>
    <workbookView xWindow="0" yWindow="600" windowWidth="35840" windowHeight="20620" activeTab="1" xr2:uid="{00000000-000D-0000-FFFF-FFFF00000000}"/>
  </bookViews>
  <sheets>
    <sheet name="Loop_B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 l="1"/>
  <c r="P36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A37" i="1"/>
  <c r="F37" i="1" s="1"/>
  <c r="B24" i="1"/>
  <c r="B23" i="1"/>
  <c r="B22" i="1"/>
  <c r="B14" i="1"/>
  <c r="B17" i="1" s="1"/>
  <c r="B26" i="1" s="1"/>
  <c r="B13" i="1"/>
  <c r="B15" i="1" s="1"/>
  <c r="E4" i="1"/>
  <c r="B18" i="1" l="1"/>
  <c r="G37" i="1"/>
  <c r="H37" i="1"/>
  <c r="J37" i="1"/>
  <c r="A38" i="1"/>
  <c r="B16" i="1"/>
  <c r="B25" i="1" s="1"/>
  <c r="B27" i="1" s="1"/>
  <c r="B33" i="1" s="1"/>
  <c r="A39" i="1" l="1"/>
  <c r="F38" i="1"/>
  <c r="I37" i="1"/>
  <c r="K37" i="1" s="1"/>
  <c r="L37" i="1" s="1"/>
  <c r="B37" i="1" s="1"/>
  <c r="P37" i="1" s="1"/>
  <c r="B28" i="1"/>
  <c r="B29" i="1" s="1"/>
  <c r="B30" i="1" l="1"/>
  <c r="B31" i="1"/>
  <c r="B32" i="1" s="1"/>
  <c r="D37" i="1"/>
  <c r="C37" i="1"/>
  <c r="I38" i="1"/>
  <c r="H38" i="1"/>
  <c r="G38" i="1"/>
  <c r="J38" i="1" s="1"/>
  <c r="A40" i="1"/>
  <c r="F39" i="1"/>
  <c r="E37" i="1" l="1"/>
  <c r="Q37" i="1"/>
  <c r="K38" i="1"/>
  <c r="L38" i="1" s="1"/>
  <c r="B38" i="1" s="1"/>
  <c r="P38" i="1" s="1"/>
  <c r="F40" i="1"/>
  <c r="A41" i="1"/>
  <c r="I39" i="1"/>
  <c r="G39" i="1"/>
  <c r="J39" i="1" s="1"/>
  <c r="H39" i="1"/>
  <c r="K39" i="1" l="1"/>
  <c r="L39" i="1" s="1"/>
  <c r="B39" i="1" s="1"/>
  <c r="P39" i="1" s="1"/>
  <c r="A42" i="1"/>
  <c r="F41" i="1"/>
  <c r="G40" i="1"/>
  <c r="J40" i="1"/>
  <c r="H40" i="1"/>
  <c r="I40" i="1" s="1"/>
  <c r="K40" i="1" s="1"/>
  <c r="L40" i="1" s="1"/>
  <c r="B40" i="1" s="1"/>
  <c r="P40" i="1" s="1"/>
  <c r="D38" i="1"/>
  <c r="C38" i="1"/>
  <c r="E38" i="1" l="1"/>
  <c r="Q38" i="1"/>
  <c r="D40" i="1"/>
  <c r="C40" i="1"/>
  <c r="J41" i="1"/>
  <c r="H41" i="1"/>
  <c r="I41" i="1" s="1"/>
  <c r="K41" i="1" s="1"/>
  <c r="L41" i="1" s="1"/>
  <c r="B41" i="1" s="1"/>
  <c r="P41" i="1" s="1"/>
  <c r="G41" i="1"/>
  <c r="F42" i="1"/>
  <c r="A43" i="1"/>
  <c r="D39" i="1"/>
  <c r="C39" i="1"/>
  <c r="E39" i="1" l="1"/>
  <c r="Q39" i="1"/>
  <c r="E40" i="1"/>
  <c r="Q40" i="1"/>
  <c r="D41" i="1"/>
  <c r="C41" i="1"/>
  <c r="A44" i="1"/>
  <c r="F43" i="1"/>
  <c r="I42" i="1"/>
  <c r="H42" i="1"/>
  <c r="G42" i="1"/>
  <c r="J42" i="1" s="1"/>
  <c r="E41" i="1" l="1"/>
  <c r="Q41" i="1"/>
  <c r="K42" i="1"/>
  <c r="L42" i="1" s="1"/>
  <c r="B42" i="1" s="1"/>
  <c r="P42" i="1" s="1"/>
  <c r="G43" i="1"/>
  <c r="H43" i="1"/>
  <c r="I43" i="1" s="1"/>
  <c r="K43" i="1" s="1"/>
  <c r="L43" i="1" s="1"/>
  <c r="B43" i="1" s="1"/>
  <c r="P43" i="1" s="1"/>
  <c r="J43" i="1"/>
  <c r="A45" i="1"/>
  <c r="F44" i="1"/>
  <c r="D43" i="1" l="1"/>
  <c r="C43" i="1"/>
  <c r="H44" i="1"/>
  <c r="I44" i="1" s="1"/>
  <c r="G44" i="1"/>
  <c r="J44" i="1" s="1"/>
  <c r="A46" i="1"/>
  <c r="F45" i="1"/>
  <c r="C42" i="1"/>
  <c r="D42" i="1"/>
  <c r="E42" i="1" l="1"/>
  <c r="Q42" i="1"/>
  <c r="E43" i="1"/>
  <c r="Q43" i="1"/>
  <c r="K44" i="1"/>
  <c r="L44" i="1" s="1"/>
  <c r="B44" i="1" s="1"/>
  <c r="P44" i="1" s="1"/>
  <c r="G45" i="1"/>
  <c r="J45" i="1"/>
  <c r="I45" i="1"/>
  <c r="K45" i="1" s="1"/>
  <c r="L45" i="1" s="1"/>
  <c r="B45" i="1" s="1"/>
  <c r="P45" i="1" s="1"/>
  <c r="H45" i="1"/>
  <c r="F46" i="1"/>
  <c r="A47" i="1"/>
  <c r="D45" i="1" l="1"/>
  <c r="C45" i="1"/>
  <c r="H46" i="1"/>
  <c r="I46" i="1" s="1"/>
  <c r="K46" i="1" s="1"/>
  <c r="L46" i="1" s="1"/>
  <c r="B46" i="1" s="1"/>
  <c r="P46" i="1" s="1"/>
  <c r="G46" i="1"/>
  <c r="J46" i="1"/>
  <c r="A48" i="1"/>
  <c r="F47" i="1"/>
  <c r="C44" i="1"/>
  <c r="D44" i="1"/>
  <c r="E44" i="1" l="1"/>
  <c r="Q44" i="1"/>
  <c r="E45" i="1"/>
  <c r="Q45" i="1"/>
  <c r="D46" i="1"/>
  <c r="C46" i="1"/>
  <c r="H47" i="1"/>
  <c r="I47" i="1" s="1"/>
  <c r="G47" i="1"/>
  <c r="J47" i="1" s="1"/>
  <c r="A49" i="1"/>
  <c r="F48" i="1"/>
  <c r="E46" i="1" l="1"/>
  <c r="Q46" i="1"/>
  <c r="K47" i="1"/>
  <c r="L47" i="1" s="1"/>
  <c r="B47" i="1" s="1"/>
  <c r="P47" i="1" s="1"/>
  <c r="H48" i="1"/>
  <c r="I48" i="1" s="1"/>
  <c r="G48" i="1"/>
  <c r="J48" i="1" s="1"/>
  <c r="A50" i="1"/>
  <c r="F49" i="1"/>
  <c r="K48" i="1" l="1"/>
  <c r="L48" i="1" s="1"/>
  <c r="B48" i="1" s="1"/>
  <c r="P48" i="1" s="1"/>
  <c r="A51" i="1"/>
  <c r="F50" i="1"/>
  <c r="I49" i="1"/>
  <c r="H49" i="1"/>
  <c r="G49" i="1"/>
  <c r="K49" i="1"/>
  <c r="L49" i="1" s="1"/>
  <c r="B49" i="1" s="1"/>
  <c r="P49" i="1" s="1"/>
  <c r="J49" i="1"/>
  <c r="C47" i="1"/>
  <c r="D47" i="1"/>
  <c r="E47" i="1" l="1"/>
  <c r="Q47" i="1"/>
  <c r="D49" i="1"/>
  <c r="C49" i="1"/>
  <c r="A52" i="1"/>
  <c r="F51" i="1"/>
  <c r="H50" i="1"/>
  <c r="I50" i="1" s="1"/>
  <c r="G50" i="1"/>
  <c r="J50" i="1" s="1"/>
  <c r="C48" i="1"/>
  <c r="D48" i="1"/>
  <c r="E48" i="1" l="1"/>
  <c r="Q48" i="1"/>
  <c r="E49" i="1"/>
  <c r="Q49" i="1"/>
  <c r="K50" i="1"/>
  <c r="L50" i="1" s="1"/>
  <c r="B50" i="1" s="1"/>
  <c r="P50" i="1" s="1"/>
  <c r="G51" i="1"/>
  <c r="J51" i="1" s="1"/>
  <c r="H51" i="1"/>
  <c r="I51" i="1" s="1"/>
  <c r="K51" i="1" s="1"/>
  <c r="L51" i="1" s="1"/>
  <c r="B51" i="1" s="1"/>
  <c r="P51" i="1" s="1"/>
  <c r="F52" i="1"/>
  <c r="A53" i="1"/>
  <c r="C51" i="1" l="1"/>
  <c r="D51" i="1"/>
  <c r="A54" i="1"/>
  <c r="F53" i="1"/>
  <c r="H52" i="1"/>
  <c r="I52" i="1" s="1"/>
  <c r="K52" i="1" s="1"/>
  <c r="L52" i="1" s="1"/>
  <c r="B52" i="1" s="1"/>
  <c r="P52" i="1" s="1"/>
  <c r="G52" i="1"/>
  <c r="J52" i="1"/>
  <c r="D50" i="1"/>
  <c r="C50" i="1"/>
  <c r="E50" i="1" l="1"/>
  <c r="Q50" i="1"/>
  <c r="E51" i="1"/>
  <c r="Q51" i="1"/>
  <c r="D52" i="1"/>
  <c r="C52" i="1"/>
  <c r="A55" i="1"/>
  <c r="F54" i="1"/>
  <c r="H53" i="1"/>
  <c r="I53" i="1" s="1"/>
  <c r="G53" i="1"/>
  <c r="J53" i="1" s="1"/>
  <c r="E52" i="1" l="1"/>
  <c r="Q52" i="1"/>
  <c r="K53" i="1"/>
  <c r="L53" i="1" s="1"/>
  <c r="B53" i="1" s="1"/>
  <c r="P53" i="1" s="1"/>
  <c r="H54" i="1"/>
  <c r="I54" i="1" s="1"/>
  <c r="G54" i="1"/>
  <c r="J54" i="1" s="1"/>
  <c r="A56" i="1"/>
  <c r="F55" i="1"/>
  <c r="K54" i="1" l="1"/>
  <c r="L54" i="1" s="1"/>
  <c r="B54" i="1" s="1"/>
  <c r="P54" i="1" s="1"/>
  <c r="I55" i="1"/>
  <c r="K55" i="1" s="1"/>
  <c r="L55" i="1" s="1"/>
  <c r="B55" i="1" s="1"/>
  <c r="P55" i="1" s="1"/>
  <c r="H55" i="1"/>
  <c r="G55" i="1"/>
  <c r="J55" i="1"/>
  <c r="A57" i="1"/>
  <c r="F56" i="1"/>
  <c r="D53" i="1"/>
  <c r="C53" i="1"/>
  <c r="E53" i="1" l="1"/>
  <c r="Q53" i="1"/>
  <c r="D55" i="1"/>
  <c r="C55" i="1"/>
  <c r="A58" i="1"/>
  <c r="F57" i="1"/>
  <c r="H56" i="1"/>
  <c r="I56" i="1" s="1"/>
  <c r="G56" i="1"/>
  <c r="J56" i="1" s="1"/>
  <c r="C54" i="1"/>
  <c r="D54" i="1"/>
  <c r="E54" i="1" l="1"/>
  <c r="Q54" i="1"/>
  <c r="E55" i="1"/>
  <c r="Q55" i="1"/>
  <c r="K56" i="1"/>
  <c r="L56" i="1" s="1"/>
  <c r="B56" i="1" s="1"/>
  <c r="P56" i="1" s="1"/>
  <c r="F58" i="1"/>
  <c r="A59" i="1"/>
  <c r="H57" i="1"/>
  <c r="I57" i="1" s="1"/>
  <c r="G57" i="1"/>
  <c r="J57" i="1" s="1"/>
  <c r="K57" i="1" l="1"/>
  <c r="L57" i="1" s="1"/>
  <c r="B57" i="1" s="1"/>
  <c r="P57" i="1" s="1"/>
  <c r="A60" i="1"/>
  <c r="F59" i="1"/>
  <c r="H58" i="1"/>
  <c r="I58" i="1" s="1"/>
  <c r="G58" i="1"/>
  <c r="J58" i="1" s="1"/>
  <c r="C56" i="1"/>
  <c r="D56" i="1"/>
  <c r="E56" i="1" l="1"/>
  <c r="Q56" i="1"/>
  <c r="K58" i="1"/>
  <c r="L58" i="1" s="1"/>
  <c r="B58" i="1" s="1"/>
  <c r="P58" i="1" s="1"/>
  <c r="H59" i="1"/>
  <c r="I59" i="1" s="1"/>
  <c r="G59" i="1"/>
  <c r="J59" i="1" s="1"/>
  <c r="A61" i="1"/>
  <c r="F60" i="1"/>
  <c r="D57" i="1"/>
  <c r="C57" i="1"/>
  <c r="E57" i="1" l="1"/>
  <c r="Q57" i="1"/>
  <c r="K59" i="1"/>
  <c r="L59" i="1" s="1"/>
  <c r="B59" i="1" s="1"/>
  <c r="P59" i="1" s="1"/>
  <c r="J60" i="1"/>
  <c r="H60" i="1"/>
  <c r="I60" i="1" s="1"/>
  <c r="K60" i="1" s="1"/>
  <c r="L60" i="1" s="1"/>
  <c r="B60" i="1" s="1"/>
  <c r="P60" i="1" s="1"/>
  <c r="G60" i="1"/>
  <c r="F61" i="1"/>
  <c r="A62" i="1"/>
  <c r="D58" i="1"/>
  <c r="C58" i="1"/>
  <c r="E58" i="1" l="1"/>
  <c r="Q58" i="1"/>
  <c r="D60" i="1"/>
  <c r="C60" i="1"/>
  <c r="H61" i="1"/>
  <c r="I61" i="1" s="1"/>
  <c r="G61" i="1"/>
  <c r="J61" i="1" s="1"/>
  <c r="A63" i="1"/>
  <c r="F62" i="1"/>
  <c r="D59" i="1"/>
  <c r="C59" i="1"/>
  <c r="E59" i="1" l="1"/>
  <c r="Q59" i="1"/>
  <c r="E60" i="1"/>
  <c r="Q60" i="1"/>
  <c r="K61" i="1"/>
  <c r="L61" i="1" s="1"/>
  <c r="B61" i="1" s="1"/>
  <c r="P61" i="1" s="1"/>
  <c r="I62" i="1"/>
  <c r="H62" i="1"/>
  <c r="G62" i="1"/>
  <c r="J62" i="1" s="1"/>
  <c r="A64" i="1"/>
  <c r="F63" i="1"/>
  <c r="K62" i="1" l="1"/>
  <c r="L62" i="1" s="1"/>
  <c r="B62" i="1" s="1"/>
  <c r="P62" i="1" s="1"/>
  <c r="F64" i="1"/>
  <c r="A65" i="1"/>
  <c r="H63" i="1"/>
  <c r="I63" i="1" s="1"/>
  <c r="G63" i="1"/>
  <c r="J63" i="1" s="1"/>
  <c r="D61" i="1"/>
  <c r="C61" i="1"/>
  <c r="E61" i="1" l="1"/>
  <c r="Q61" i="1"/>
  <c r="K63" i="1"/>
  <c r="L63" i="1" s="1"/>
  <c r="B63" i="1" s="1"/>
  <c r="P63" i="1" s="1"/>
  <c r="A66" i="1"/>
  <c r="F65" i="1"/>
  <c r="H64" i="1"/>
  <c r="I64" i="1" s="1"/>
  <c r="G64" i="1"/>
  <c r="J64" i="1" s="1"/>
  <c r="C62" i="1"/>
  <c r="D62" i="1"/>
  <c r="E62" i="1" l="1"/>
  <c r="Q62" i="1"/>
  <c r="K64" i="1"/>
  <c r="L64" i="1" s="1"/>
  <c r="B64" i="1" s="1"/>
  <c r="P64" i="1" s="1"/>
  <c r="A67" i="1"/>
  <c r="F66" i="1"/>
  <c r="I65" i="1"/>
  <c r="H65" i="1"/>
  <c r="G65" i="1"/>
  <c r="J65" i="1" s="1"/>
  <c r="D63" i="1"/>
  <c r="C63" i="1"/>
  <c r="E63" i="1" l="1"/>
  <c r="Q63" i="1"/>
  <c r="K65" i="1"/>
  <c r="L65" i="1" s="1"/>
  <c r="B65" i="1" s="1"/>
  <c r="P65" i="1" s="1"/>
  <c r="I66" i="1"/>
  <c r="H66" i="1"/>
  <c r="G66" i="1"/>
  <c r="J66" i="1" s="1"/>
  <c r="A68" i="1"/>
  <c r="F67" i="1"/>
  <c r="D64" i="1"/>
  <c r="C64" i="1"/>
  <c r="E64" i="1" l="1"/>
  <c r="Q64" i="1"/>
  <c r="K66" i="1"/>
  <c r="L66" i="1" s="1"/>
  <c r="B66" i="1" s="1"/>
  <c r="P66" i="1" s="1"/>
  <c r="H67" i="1"/>
  <c r="I67" i="1" s="1"/>
  <c r="G67" i="1"/>
  <c r="J67" i="1" s="1"/>
  <c r="A69" i="1"/>
  <c r="F68" i="1"/>
  <c r="D65" i="1"/>
  <c r="C65" i="1"/>
  <c r="E65" i="1" l="1"/>
  <c r="Q65" i="1"/>
  <c r="K67" i="1"/>
  <c r="L67" i="1" s="1"/>
  <c r="B67" i="1" s="1"/>
  <c r="P67" i="1" s="1"/>
  <c r="F69" i="1"/>
  <c r="A70" i="1"/>
  <c r="H68" i="1"/>
  <c r="I68" i="1" s="1"/>
  <c r="K68" i="1" s="1"/>
  <c r="L68" i="1" s="1"/>
  <c r="B68" i="1" s="1"/>
  <c r="P68" i="1" s="1"/>
  <c r="G68" i="1"/>
  <c r="J68" i="1" s="1"/>
  <c r="D66" i="1"/>
  <c r="C66" i="1"/>
  <c r="E66" i="1" l="1"/>
  <c r="Q66" i="1"/>
  <c r="D68" i="1"/>
  <c r="C68" i="1"/>
  <c r="F70" i="1"/>
  <c r="A71" i="1"/>
  <c r="I69" i="1"/>
  <c r="H69" i="1"/>
  <c r="G69" i="1"/>
  <c r="J69" i="1" s="1"/>
  <c r="K69" i="1" s="1"/>
  <c r="L69" i="1" s="1"/>
  <c r="B69" i="1" s="1"/>
  <c r="P69" i="1" s="1"/>
  <c r="D67" i="1"/>
  <c r="C67" i="1"/>
  <c r="E67" i="1" l="1"/>
  <c r="Q67" i="1"/>
  <c r="E68" i="1"/>
  <c r="Q68" i="1"/>
  <c r="D69" i="1"/>
  <c r="C69" i="1"/>
  <c r="A72" i="1"/>
  <c r="F71" i="1"/>
  <c r="H70" i="1"/>
  <c r="I70" i="1" s="1"/>
  <c r="K70" i="1" s="1"/>
  <c r="L70" i="1" s="1"/>
  <c r="B70" i="1" s="1"/>
  <c r="P70" i="1" s="1"/>
  <c r="G70" i="1"/>
  <c r="J70" i="1" s="1"/>
  <c r="E69" i="1" l="1"/>
  <c r="Q69" i="1"/>
  <c r="D70" i="1"/>
  <c r="C70" i="1"/>
  <c r="I71" i="1"/>
  <c r="H71" i="1"/>
  <c r="G71" i="1"/>
  <c r="J71" i="1" s="1"/>
  <c r="F72" i="1"/>
  <c r="A73" i="1"/>
  <c r="E70" i="1" l="1"/>
  <c r="Q70" i="1"/>
  <c r="K71" i="1"/>
  <c r="L71" i="1" s="1"/>
  <c r="B71" i="1" s="1"/>
  <c r="P71" i="1" s="1"/>
  <c r="A74" i="1"/>
  <c r="F73" i="1"/>
  <c r="H72" i="1"/>
  <c r="I72" i="1" s="1"/>
  <c r="G72" i="1"/>
  <c r="J72" i="1" s="1"/>
  <c r="K72" i="1" l="1"/>
  <c r="L72" i="1" s="1"/>
  <c r="B72" i="1" s="1"/>
  <c r="P72" i="1" s="1"/>
  <c r="H73" i="1"/>
  <c r="I73" i="1" s="1"/>
  <c r="G73" i="1"/>
  <c r="J73" i="1" s="1"/>
  <c r="F74" i="1"/>
  <c r="A75" i="1"/>
  <c r="D71" i="1"/>
  <c r="C71" i="1"/>
  <c r="E71" i="1" l="1"/>
  <c r="Q71" i="1"/>
  <c r="K73" i="1"/>
  <c r="L73" i="1" s="1"/>
  <c r="B73" i="1" s="1"/>
  <c r="P73" i="1" s="1"/>
  <c r="I74" i="1"/>
  <c r="H74" i="1"/>
  <c r="G74" i="1"/>
  <c r="J74" i="1"/>
  <c r="K74" i="1" s="1"/>
  <c r="L74" i="1" s="1"/>
  <c r="B74" i="1" s="1"/>
  <c r="P74" i="1" s="1"/>
  <c r="A76" i="1"/>
  <c r="F75" i="1"/>
  <c r="D72" i="1"/>
  <c r="C72" i="1"/>
  <c r="E72" i="1" l="1"/>
  <c r="Q72" i="1"/>
  <c r="D74" i="1"/>
  <c r="C74" i="1"/>
  <c r="H75" i="1"/>
  <c r="I75" i="1" s="1"/>
  <c r="G75" i="1"/>
  <c r="J75" i="1" s="1"/>
  <c r="F76" i="1"/>
  <c r="A77" i="1"/>
  <c r="D73" i="1"/>
  <c r="C73" i="1"/>
  <c r="E73" i="1" l="1"/>
  <c r="Q73" i="1"/>
  <c r="E74" i="1"/>
  <c r="Q74" i="1"/>
  <c r="K75" i="1"/>
  <c r="L75" i="1" s="1"/>
  <c r="B75" i="1" s="1"/>
  <c r="P75" i="1" s="1"/>
  <c r="A78" i="1"/>
  <c r="F77" i="1"/>
  <c r="H76" i="1"/>
  <c r="G76" i="1"/>
  <c r="K76" i="1"/>
  <c r="L76" i="1" s="1"/>
  <c r="B76" i="1" s="1"/>
  <c r="P76" i="1" s="1"/>
  <c r="J76" i="1"/>
  <c r="I76" i="1"/>
  <c r="D76" i="1" l="1"/>
  <c r="C76" i="1"/>
  <c r="H77" i="1"/>
  <c r="I77" i="1" s="1"/>
  <c r="G77" i="1"/>
  <c r="J77" i="1" s="1"/>
  <c r="F78" i="1"/>
  <c r="A79" i="1"/>
  <c r="D75" i="1"/>
  <c r="C75" i="1"/>
  <c r="E75" i="1" l="1"/>
  <c r="Q75" i="1"/>
  <c r="E76" i="1"/>
  <c r="Q76" i="1"/>
  <c r="K77" i="1"/>
  <c r="L77" i="1" s="1"/>
  <c r="B77" i="1" s="1"/>
  <c r="P77" i="1" s="1"/>
  <c r="I78" i="1"/>
  <c r="H78" i="1"/>
  <c r="G78" i="1"/>
  <c r="J78" i="1"/>
  <c r="K78" i="1" s="1"/>
  <c r="L78" i="1" s="1"/>
  <c r="B78" i="1" s="1"/>
  <c r="P78" i="1" s="1"/>
  <c r="A80" i="1"/>
  <c r="F79" i="1"/>
  <c r="D78" i="1" l="1"/>
  <c r="C78" i="1"/>
  <c r="H79" i="1"/>
  <c r="I79" i="1" s="1"/>
  <c r="K79" i="1" s="1"/>
  <c r="L79" i="1" s="1"/>
  <c r="B79" i="1" s="1"/>
  <c r="P79" i="1" s="1"/>
  <c r="G79" i="1"/>
  <c r="J79" i="1" s="1"/>
  <c r="A81" i="1"/>
  <c r="F80" i="1"/>
  <c r="D77" i="1"/>
  <c r="C77" i="1"/>
  <c r="E77" i="1" l="1"/>
  <c r="Q77" i="1"/>
  <c r="E78" i="1"/>
  <c r="Q78" i="1"/>
  <c r="D79" i="1"/>
  <c r="C79" i="1"/>
  <c r="I80" i="1"/>
  <c r="H80" i="1"/>
  <c r="G80" i="1"/>
  <c r="J80" i="1" s="1"/>
  <c r="A82" i="1"/>
  <c r="F81" i="1"/>
  <c r="E79" i="1" l="1"/>
  <c r="Q79" i="1"/>
  <c r="K80" i="1"/>
  <c r="L80" i="1" s="1"/>
  <c r="B80" i="1" s="1"/>
  <c r="P80" i="1" s="1"/>
  <c r="H81" i="1"/>
  <c r="I81" i="1" s="1"/>
  <c r="G81" i="1"/>
  <c r="J81" i="1" s="1"/>
  <c r="F82" i="1"/>
  <c r="A83" i="1"/>
  <c r="K81" i="1" l="1"/>
  <c r="L81" i="1" s="1"/>
  <c r="B81" i="1" s="1"/>
  <c r="P81" i="1" s="1"/>
  <c r="A84" i="1"/>
  <c r="F83" i="1"/>
  <c r="H82" i="1"/>
  <c r="I82" i="1" s="1"/>
  <c r="G82" i="1"/>
  <c r="J82" i="1" s="1"/>
  <c r="D80" i="1"/>
  <c r="C80" i="1"/>
  <c r="E80" i="1" l="1"/>
  <c r="Q80" i="1"/>
  <c r="K82" i="1"/>
  <c r="L82" i="1" s="1"/>
  <c r="B82" i="1" s="1"/>
  <c r="P82" i="1" s="1"/>
  <c r="A85" i="1"/>
  <c r="F84" i="1"/>
  <c r="H83" i="1"/>
  <c r="I83" i="1" s="1"/>
  <c r="G83" i="1"/>
  <c r="J83" i="1" s="1"/>
  <c r="D81" i="1"/>
  <c r="C81" i="1"/>
  <c r="E81" i="1" l="1"/>
  <c r="Q81" i="1"/>
  <c r="K83" i="1"/>
  <c r="L83" i="1" s="1"/>
  <c r="B83" i="1" s="1"/>
  <c r="P83" i="1" s="1"/>
  <c r="F85" i="1"/>
  <c r="A86" i="1"/>
  <c r="H84" i="1"/>
  <c r="I84" i="1" s="1"/>
  <c r="K84" i="1" s="1"/>
  <c r="L84" i="1" s="1"/>
  <c r="B84" i="1" s="1"/>
  <c r="P84" i="1" s="1"/>
  <c r="G84" i="1"/>
  <c r="J84" i="1" s="1"/>
  <c r="D82" i="1"/>
  <c r="C82" i="1"/>
  <c r="E82" i="1" l="1"/>
  <c r="Q82" i="1"/>
  <c r="C84" i="1"/>
  <c r="D84" i="1"/>
  <c r="F86" i="1"/>
  <c r="A87" i="1"/>
  <c r="H85" i="1"/>
  <c r="I85" i="1" s="1"/>
  <c r="G85" i="1"/>
  <c r="J85" i="1" s="1"/>
  <c r="D83" i="1"/>
  <c r="C83" i="1"/>
  <c r="E84" i="1" l="1"/>
  <c r="Q84" i="1"/>
  <c r="E83" i="1"/>
  <c r="Q83" i="1"/>
  <c r="K85" i="1"/>
  <c r="L85" i="1" s="1"/>
  <c r="B85" i="1" s="1"/>
  <c r="P85" i="1" s="1"/>
  <c r="A88" i="1"/>
  <c r="F87" i="1"/>
  <c r="H86" i="1"/>
  <c r="I86" i="1" s="1"/>
  <c r="K86" i="1" s="1"/>
  <c r="L86" i="1" s="1"/>
  <c r="B86" i="1" s="1"/>
  <c r="P86" i="1" s="1"/>
  <c r="G86" i="1"/>
  <c r="J86" i="1"/>
  <c r="D86" i="1" l="1"/>
  <c r="C86" i="1"/>
  <c r="A89" i="1"/>
  <c r="F88" i="1"/>
  <c r="H87" i="1"/>
  <c r="I87" i="1" s="1"/>
  <c r="G87" i="1"/>
  <c r="J87" i="1" s="1"/>
  <c r="D85" i="1"/>
  <c r="C85" i="1"/>
  <c r="E85" i="1" l="1"/>
  <c r="Q85" i="1"/>
  <c r="E86" i="1"/>
  <c r="Q86" i="1"/>
  <c r="K87" i="1"/>
  <c r="L87" i="1" s="1"/>
  <c r="B87" i="1" s="1"/>
  <c r="P87" i="1" s="1"/>
  <c r="A90" i="1"/>
  <c r="F89" i="1"/>
  <c r="I88" i="1"/>
  <c r="H88" i="1"/>
  <c r="G88" i="1"/>
  <c r="J88" i="1" s="1"/>
  <c r="K88" i="1" l="1"/>
  <c r="L88" i="1" s="1"/>
  <c r="B88" i="1" s="1"/>
  <c r="P88" i="1" s="1"/>
  <c r="F90" i="1"/>
  <c r="A91" i="1"/>
  <c r="H89" i="1"/>
  <c r="I89" i="1" s="1"/>
  <c r="G89" i="1"/>
  <c r="J89" i="1" s="1"/>
  <c r="D87" i="1"/>
  <c r="C87" i="1"/>
  <c r="E87" i="1" l="1"/>
  <c r="Q87" i="1"/>
  <c r="K89" i="1"/>
  <c r="L89" i="1" s="1"/>
  <c r="B89" i="1" s="1"/>
  <c r="P89" i="1" s="1"/>
  <c r="H90" i="1"/>
  <c r="I90" i="1" s="1"/>
  <c r="K90" i="1" s="1"/>
  <c r="L90" i="1" s="1"/>
  <c r="B90" i="1" s="1"/>
  <c r="P90" i="1" s="1"/>
  <c r="G90" i="1"/>
  <c r="J90" i="1"/>
  <c r="A92" i="1"/>
  <c r="F91" i="1"/>
  <c r="C88" i="1"/>
  <c r="D88" i="1"/>
  <c r="E88" i="1" l="1"/>
  <c r="Q88" i="1"/>
  <c r="D90" i="1"/>
  <c r="C90" i="1"/>
  <c r="H91" i="1"/>
  <c r="I91" i="1" s="1"/>
  <c r="G91" i="1"/>
  <c r="J91" i="1" s="1"/>
  <c r="F92" i="1"/>
  <c r="A93" i="1"/>
  <c r="D89" i="1"/>
  <c r="C89" i="1"/>
  <c r="E89" i="1" l="1"/>
  <c r="Q89" i="1"/>
  <c r="E90" i="1"/>
  <c r="Q90" i="1"/>
  <c r="K91" i="1"/>
  <c r="L91" i="1" s="1"/>
  <c r="B91" i="1" s="1"/>
  <c r="P91" i="1" s="1"/>
  <c r="G92" i="1"/>
  <c r="J92" i="1"/>
  <c r="I92" i="1"/>
  <c r="K92" i="1" s="1"/>
  <c r="L92" i="1" s="1"/>
  <c r="B92" i="1" s="1"/>
  <c r="P92" i="1" s="1"/>
  <c r="H92" i="1"/>
  <c r="F93" i="1"/>
  <c r="A94" i="1"/>
  <c r="D92" i="1" l="1"/>
  <c r="C92" i="1"/>
  <c r="F94" i="1"/>
  <c r="A95" i="1"/>
  <c r="G93" i="1"/>
  <c r="J93" i="1"/>
  <c r="H93" i="1"/>
  <c r="I93" i="1" s="1"/>
  <c r="K93" i="1" s="1"/>
  <c r="L93" i="1" s="1"/>
  <c r="B93" i="1" s="1"/>
  <c r="P93" i="1" s="1"/>
  <c r="C91" i="1"/>
  <c r="D91" i="1"/>
  <c r="E91" i="1" l="1"/>
  <c r="Q91" i="1"/>
  <c r="E92" i="1"/>
  <c r="Q92" i="1"/>
  <c r="D93" i="1"/>
  <c r="C93" i="1"/>
  <c r="A96" i="1"/>
  <c r="F95" i="1"/>
  <c r="H94" i="1"/>
  <c r="I94" i="1" s="1"/>
  <c r="G94" i="1"/>
  <c r="J94" i="1" s="1"/>
  <c r="E93" i="1" l="1"/>
  <c r="Q93" i="1"/>
  <c r="K94" i="1"/>
  <c r="L94" i="1" s="1"/>
  <c r="B94" i="1" s="1"/>
  <c r="P94" i="1" s="1"/>
  <c r="I95" i="1"/>
  <c r="H95" i="1"/>
  <c r="G95" i="1"/>
  <c r="J95" i="1" s="1"/>
  <c r="F96" i="1"/>
  <c r="A97" i="1"/>
  <c r="K95" i="1" l="1"/>
  <c r="L95" i="1" s="1"/>
  <c r="B95" i="1" s="1"/>
  <c r="P95" i="1" s="1"/>
  <c r="F97" i="1"/>
  <c r="A98" i="1"/>
  <c r="G96" i="1"/>
  <c r="J96" i="1"/>
  <c r="H96" i="1"/>
  <c r="I96" i="1" s="1"/>
  <c r="K96" i="1" s="1"/>
  <c r="L96" i="1" s="1"/>
  <c r="B96" i="1" s="1"/>
  <c r="P96" i="1" s="1"/>
  <c r="D94" i="1"/>
  <c r="C94" i="1"/>
  <c r="E94" i="1" l="1"/>
  <c r="Q94" i="1"/>
  <c r="D96" i="1"/>
  <c r="C96" i="1"/>
  <c r="C95" i="1"/>
  <c r="D95" i="1"/>
  <c r="A99" i="1"/>
  <c r="F98" i="1"/>
  <c r="H97" i="1"/>
  <c r="I97" i="1" s="1"/>
  <c r="K97" i="1" s="1"/>
  <c r="L97" i="1" s="1"/>
  <c r="B97" i="1" s="1"/>
  <c r="P97" i="1" s="1"/>
  <c r="G97" i="1"/>
  <c r="J97" i="1" s="1"/>
  <c r="E95" i="1" l="1"/>
  <c r="Q95" i="1"/>
  <c r="E96" i="1"/>
  <c r="Q96" i="1"/>
  <c r="D97" i="1"/>
  <c r="C97" i="1"/>
  <c r="I98" i="1"/>
  <c r="H98" i="1"/>
  <c r="G98" i="1"/>
  <c r="J98" i="1" s="1"/>
  <c r="F99" i="1"/>
  <c r="A100" i="1"/>
  <c r="E97" i="1" l="1"/>
  <c r="Q97" i="1"/>
  <c r="K98" i="1"/>
  <c r="L98" i="1" s="1"/>
  <c r="B98" i="1" s="1"/>
  <c r="P98" i="1" s="1"/>
  <c r="H99" i="1"/>
  <c r="I99" i="1" s="1"/>
  <c r="G99" i="1"/>
  <c r="J99" i="1" s="1"/>
  <c r="F100" i="1"/>
  <c r="A101" i="1"/>
  <c r="K99" i="1" l="1"/>
  <c r="L99" i="1" s="1"/>
  <c r="B99" i="1" s="1"/>
  <c r="P99" i="1" s="1"/>
  <c r="G100" i="1"/>
  <c r="H100" i="1"/>
  <c r="I100" i="1" s="1"/>
  <c r="K100" i="1" s="1"/>
  <c r="L100" i="1" s="1"/>
  <c r="B100" i="1" s="1"/>
  <c r="P100" i="1" s="1"/>
  <c r="J100" i="1"/>
  <c r="A102" i="1"/>
  <c r="F101" i="1"/>
  <c r="D98" i="1"/>
  <c r="C98" i="1"/>
  <c r="E98" i="1" l="1"/>
  <c r="Q98" i="1"/>
  <c r="D100" i="1"/>
  <c r="C100" i="1"/>
  <c r="J101" i="1"/>
  <c r="H101" i="1"/>
  <c r="I101" i="1" s="1"/>
  <c r="K101" i="1" s="1"/>
  <c r="L101" i="1" s="1"/>
  <c r="B101" i="1" s="1"/>
  <c r="P101" i="1" s="1"/>
  <c r="G101" i="1"/>
  <c r="A103" i="1"/>
  <c r="F102" i="1"/>
  <c r="C99" i="1"/>
  <c r="D99" i="1"/>
  <c r="E99" i="1" l="1"/>
  <c r="Q99" i="1"/>
  <c r="E100" i="1"/>
  <c r="Q100" i="1"/>
  <c r="D101" i="1"/>
  <c r="C101" i="1"/>
  <c r="F103" i="1"/>
  <c r="A104" i="1"/>
  <c r="H102" i="1"/>
  <c r="I102" i="1" s="1"/>
  <c r="G102" i="1"/>
  <c r="J102" i="1" s="1"/>
  <c r="E101" i="1" l="1"/>
  <c r="Q101" i="1"/>
  <c r="K102" i="1"/>
  <c r="L102" i="1" s="1"/>
  <c r="B102" i="1" s="1"/>
  <c r="P102" i="1" s="1"/>
  <c r="F104" i="1"/>
  <c r="A105" i="1"/>
  <c r="G103" i="1"/>
  <c r="J103" i="1"/>
  <c r="H103" i="1"/>
  <c r="I103" i="1" s="1"/>
  <c r="K103" i="1" s="1"/>
  <c r="L103" i="1" s="1"/>
  <c r="B103" i="1" s="1"/>
  <c r="P103" i="1" s="1"/>
  <c r="C103" i="1" l="1"/>
  <c r="D103" i="1"/>
  <c r="A106" i="1"/>
  <c r="F105" i="1"/>
  <c r="G104" i="1"/>
  <c r="J104" i="1"/>
  <c r="H104" i="1"/>
  <c r="I104" i="1" s="1"/>
  <c r="K104" i="1" s="1"/>
  <c r="L104" i="1" s="1"/>
  <c r="B104" i="1" s="1"/>
  <c r="P104" i="1" s="1"/>
  <c r="D102" i="1"/>
  <c r="C102" i="1"/>
  <c r="E102" i="1" l="1"/>
  <c r="Q102" i="1"/>
  <c r="E103" i="1"/>
  <c r="Q103" i="1"/>
  <c r="D104" i="1"/>
  <c r="C104" i="1"/>
  <c r="F106" i="1"/>
  <c r="A107" i="1"/>
  <c r="H105" i="1"/>
  <c r="I105" i="1" s="1"/>
  <c r="K105" i="1" s="1"/>
  <c r="L105" i="1" s="1"/>
  <c r="B105" i="1" s="1"/>
  <c r="P105" i="1" s="1"/>
  <c r="G105" i="1"/>
  <c r="J105" i="1" s="1"/>
  <c r="E104" i="1" l="1"/>
  <c r="Q104" i="1"/>
  <c r="D105" i="1"/>
  <c r="C105" i="1"/>
  <c r="F107" i="1"/>
  <c r="A108" i="1"/>
  <c r="J106" i="1"/>
  <c r="H106" i="1"/>
  <c r="I106" i="1" s="1"/>
  <c r="K106" i="1" s="1"/>
  <c r="L106" i="1" s="1"/>
  <c r="B106" i="1" s="1"/>
  <c r="P106" i="1" s="1"/>
  <c r="G106" i="1"/>
  <c r="E105" i="1" l="1"/>
  <c r="Q105" i="1"/>
  <c r="D106" i="1"/>
  <c r="C106" i="1"/>
  <c r="A109" i="1"/>
  <c r="F108" i="1"/>
  <c r="H107" i="1"/>
  <c r="I107" i="1" s="1"/>
  <c r="G107" i="1"/>
  <c r="J107" i="1" s="1"/>
  <c r="E106" i="1" l="1"/>
  <c r="Q106" i="1"/>
  <c r="K107" i="1"/>
  <c r="L107" i="1" s="1"/>
  <c r="B107" i="1" s="1"/>
  <c r="P107" i="1" s="1"/>
  <c r="G108" i="1"/>
  <c r="J108" i="1"/>
  <c r="H108" i="1"/>
  <c r="I108" i="1" s="1"/>
  <c r="K108" i="1" s="1"/>
  <c r="L108" i="1" s="1"/>
  <c r="B108" i="1" s="1"/>
  <c r="P108" i="1" s="1"/>
  <c r="A110" i="1"/>
  <c r="F109" i="1"/>
  <c r="D108" i="1" l="1"/>
  <c r="C108" i="1"/>
  <c r="H109" i="1"/>
  <c r="I109" i="1" s="1"/>
  <c r="G109" i="1"/>
  <c r="J109" i="1" s="1"/>
  <c r="F110" i="1"/>
  <c r="A111" i="1"/>
  <c r="C107" i="1"/>
  <c r="D107" i="1"/>
  <c r="E107" i="1" l="1"/>
  <c r="Q107" i="1"/>
  <c r="E108" i="1"/>
  <c r="Q108" i="1"/>
  <c r="K109" i="1"/>
  <c r="L109" i="1" s="1"/>
  <c r="B109" i="1" s="1"/>
  <c r="P109" i="1" s="1"/>
  <c r="A112" i="1"/>
  <c r="F111" i="1"/>
  <c r="H110" i="1"/>
  <c r="G110" i="1"/>
  <c r="J110" i="1"/>
  <c r="I110" i="1"/>
  <c r="K110" i="1" s="1"/>
  <c r="L110" i="1" s="1"/>
  <c r="B110" i="1" s="1"/>
  <c r="P110" i="1" s="1"/>
  <c r="D110" i="1" l="1"/>
  <c r="C110" i="1"/>
  <c r="A113" i="1"/>
  <c r="F112" i="1"/>
  <c r="I111" i="1"/>
  <c r="H111" i="1"/>
  <c r="G111" i="1"/>
  <c r="J111" i="1" s="1"/>
  <c r="C109" i="1"/>
  <c r="D109" i="1"/>
  <c r="E109" i="1" l="1"/>
  <c r="Q109" i="1"/>
  <c r="E110" i="1"/>
  <c r="Q110" i="1"/>
  <c r="K111" i="1"/>
  <c r="L111" i="1" s="1"/>
  <c r="B111" i="1" s="1"/>
  <c r="P111" i="1" s="1"/>
  <c r="F113" i="1"/>
  <c r="A114" i="1"/>
  <c r="G112" i="1"/>
  <c r="J112" i="1" s="1"/>
  <c r="H112" i="1"/>
  <c r="I112" i="1" s="1"/>
  <c r="K112" i="1" s="1"/>
  <c r="L112" i="1" s="1"/>
  <c r="B112" i="1" s="1"/>
  <c r="P112" i="1" s="1"/>
  <c r="D112" i="1" l="1"/>
  <c r="C112" i="1"/>
  <c r="F114" i="1"/>
  <c r="A115" i="1"/>
  <c r="H113" i="1"/>
  <c r="I113" i="1" s="1"/>
  <c r="G113" i="1"/>
  <c r="J113" i="1" s="1"/>
  <c r="C111" i="1"/>
  <c r="D111" i="1"/>
  <c r="E111" i="1" l="1"/>
  <c r="Q111" i="1"/>
  <c r="E112" i="1"/>
  <c r="Q112" i="1"/>
  <c r="K113" i="1"/>
  <c r="L113" i="1" s="1"/>
  <c r="B113" i="1" s="1"/>
  <c r="P113" i="1" s="1"/>
  <c r="A116" i="1"/>
  <c r="F115" i="1"/>
  <c r="I114" i="1"/>
  <c r="H114" i="1"/>
  <c r="G114" i="1"/>
  <c r="J114" i="1" s="1"/>
  <c r="K114" i="1" l="1"/>
  <c r="L114" i="1" s="1"/>
  <c r="B114" i="1" s="1"/>
  <c r="P114" i="1" s="1"/>
  <c r="H115" i="1"/>
  <c r="I115" i="1" s="1"/>
  <c r="G115" i="1"/>
  <c r="J115" i="1" s="1"/>
  <c r="F116" i="1"/>
  <c r="A117" i="1"/>
  <c r="D113" i="1"/>
  <c r="C113" i="1"/>
  <c r="E113" i="1" l="1"/>
  <c r="Q113" i="1"/>
  <c r="K115" i="1"/>
  <c r="L115" i="1" s="1"/>
  <c r="B115" i="1" s="1"/>
  <c r="P115" i="1" s="1"/>
  <c r="A118" i="1"/>
  <c r="F117" i="1"/>
  <c r="G116" i="1"/>
  <c r="H116" i="1"/>
  <c r="I116" i="1" s="1"/>
  <c r="K116" i="1" s="1"/>
  <c r="L116" i="1" s="1"/>
  <c r="B116" i="1" s="1"/>
  <c r="P116" i="1" s="1"/>
  <c r="J116" i="1"/>
  <c r="D114" i="1"/>
  <c r="C114" i="1"/>
  <c r="E114" i="1" l="1"/>
  <c r="Q114" i="1"/>
  <c r="D116" i="1"/>
  <c r="C116" i="1"/>
  <c r="A119" i="1"/>
  <c r="F118" i="1"/>
  <c r="J117" i="1"/>
  <c r="H117" i="1"/>
  <c r="I117" i="1" s="1"/>
  <c r="K117" i="1" s="1"/>
  <c r="L117" i="1" s="1"/>
  <c r="B117" i="1" s="1"/>
  <c r="P117" i="1" s="1"/>
  <c r="G117" i="1"/>
  <c r="C115" i="1"/>
  <c r="D115" i="1"/>
  <c r="E115" i="1" l="1"/>
  <c r="Q115" i="1"/>
  <c r="E116" i="1"/>
  <c r="Q116" i="1"/>
  <c r="D117" i="1"/>
  <c r="C117" i="1"/>
  <c r="F119" i="1"/>
  <c r="A120" i="1"/>
  <c r="I118" i="1"/>
  <c r="H118" i="1"/>
  <c r="G118" i="1"/>
  <c r="J118" i="1" s="1"/>
  <c r="E117" i="1" l="1"/>
  <c r="Q117" i="1"/>
  <c r="K118" i="1"/>
  <c r="L118" i="1" s="1"/>
  <c r="B118" i="1" s="1"/>
  <c r="P118" i="1" s="1"/>
  <c r="F120" i="1"/>
  <c r="A121" i="1"/>
  <c r="G119" i="1"/>
  <c r="J119" i="1"/>
  <c r="H119" i="1"/>
  <c r="I119" i="1" s="1"/>
  <c r="K119" i="1" s="1"/>
  <c r="L119" i="1" s="1"/>
  <c r="B119" i="1" s="1"/>
  <c r="P119" i="1" s="1"/>
  <c r="C119" i="1" l="1"/>
  <c r="D119" i="1"/>
  <c r="G120" i="1"/>
  <c r="J120" i="1"/>
  <c r="H120" i="1"/>
  <c r="I120" i="1" s="1"/>
  <c r="K120" i="1" s="1"/>
  <c r="L120" i="1" s="1"/>
  <c r="B120" i="1" s="1"/>
  <c r="P120" i="1" s="1"/>
  <c r="A122" i="1"/>
  <c r="F121" i="1"/>
  <c r="D118" i="1"/>
  <c r="C118" i="1"/>
  <c r="E118" i="1" l="1"/>
  <c r="Q118" i="1"/>
  <c r="E119" i="1"/>
  <c r="Q119" i="1"/>
  <c r="D120" i="1"/>
  <c r="C120" i="1"/>
  <c r="I121" i="1"/>
  <c r="H121" i="1"/>
  <c r="G121" i="1"/>
  <c r="J121" i="1" s="1"/>
  <c r="F122" i="1"/>
  <c r="A123" i="1"/>
  <c r="E120" i="1" l="1"/>
  <c r="Q120" i="1"/>
  <c r="K121" i="1"/>
  <c r="L121" i="1" s="1"/>
  <c r="B121" i="1" s="1"/>
  <c r="P121" i="1" s="1"/>
  <c r="A124" i="1"/>
  <c r="F123" i="1"/>
  <c r="G122" i="1"/>
  <c r="J122" i="1"/>
  <c r="H122" i="1"/>
  <c r="I122" i="1" s="1"/>
  <c r="K122" i="1" s="1"/>
  <c r="L122" i="1" s="1"/>
  <c r="B122" i="1" s="1"/>
  <c r="P122" i="1" s="1"/>
  <c r="D122" i="1" l="1"/>
  <c r="C122" i="1"/>
  <c r="F124" i="1"/>
  <c r="A125" i="1"/>
  <c r="H123" i="1"/>
  <c r="I123" i="1" s="1"/>
  <c r="G123" i="1"/>
  <c r="J123" i="1" s="1"/>
  <c r="D121" i="1"/>
  <c r="C121" i="1"/>
  <c r="E121" i="1" l="1"/>
  <c r="Q121" i="1"/>
  <c r="E122" i="1"/>
  <c r="Q122" i="1"/>
  <c r="K123" i="1"/>
  <c r="L123" i="1" s="1"/>
  <c r="B123" i="1" s="1"/>
  <c r="P123" i="1" s="1"/>
  <c r="F125" i="1"/>
  <c r="A126" i="1"/>
  <c r="G124" i="1"/>
  <c r="J124" i="1"/>
  <c r="H124" i="1"/>
  <c r="I124" i="1" s="1"/>
  <c r="K124" i="1" s="1"/>
  <c r="L124" i="1" s="1"/>
  <c r="B124" i="1" s="1"/>
  <c r="P124" i="1" s="1"/>
  <c r="D124" i="1" l="1"/>
  <c r="C124" i="1"/>
  <c r="A127" i="1"/>
  <c r="F126" i="1"/>
  <c r="J125" i="1"/>
  <c r="G125" i="1"/>
  <c r="H125" i="1"/>
  <c r="I125" i="1" s="1"/>
  <c r="K125" i="1" s="1"/>
  <c r="L125" i="1" s="1"/>
  <c r="B125" i="1" s="1"/>
  <c r="P125" i="1" s="1"/>
  <c r="C123" i="1"/>
  <c r="D123" i="1"/>
  <c r="E123" i="1" l="1"/>
  <c r="Q123" i="1"/>
  <c r="E124" i="1"/>
  <c r="Q124" i="1"/>
  <c r="D125" i="1"/>
  <c r="C125" i="1"/>
  <c r="H126" i="1"/>
  <c r="I126" i="1" s="1"/>
  <c r="G126" i="1"/>
  <c r="J126" i="1" s="1"/>
  <c r="A128" i="1"/>
  <c r="F127" i="1"/>
  <c r="E125" i="1" l="1"/>
  <c r="Q125" i="1"/>
  <c r="K126" i="1"/>
  <c r="L126" i="1" s="1"/>
  <c r="B126" i="1" s="1"/>
  <c r="P126" i="1" s="1"/>
  <c r="H127" i="1"/>
  <c r="I127" i="1" s="1"/>
  <c r="G127" i="1"/>
  <c r="J127" i="1" s="1"/>
  <c r="F128" i="1"/>
  <c r="B128" i="1"/>
  <c r="A129" i="1"/>
  <c r="K127" i="1" l="1"/>
  <c r="L127" i="1" s="1"/>
  <c r="B127" i="1" s="1"/>
  <c r="P127" i="1" s="1"/>
  <c r="G128" i="1"/>
  <c r="I128" i="1"/>
  <c r="H128" i="1"/>
  <c r="L128" i="1"/>
  <c r="K128" i="1"/>
  <c r="J128" i="1"/>
  <c r="A130" i="1"/>
  <c r="F129" i="1"/>
  <c r="B129" i="1"/>
  <c r="D128" i="1"/>
  <c r="E128" i="1" s="1"/>
  <c r="C128" i="1"/>
  <c r="D126" i="1"/>
  <c r="C126" i="1"/>
  <c r="E126" i="1" l="1"/>
  <c r="Q126" i="1"/>
  <c r="K129" i="1"/>
  <c r="J129" i="1"/>
  <c r="L129" i="1"/>
  <c r="I129" i="1"/>
  <c r="H129" i="1"/>
  <c r="G129" i="1"/>
  <c r="D129" i="1"/>
  <c r="E129" i="1" s="1"/>
  <c r="C129" i="1"/>
  <c r="B130" i="1"/>
  <c r="A131" i="1"/>
  <c r="F130" i="1"/>
  <c r="C127" i="1"/>
  <c r="D127" i="1"/>
  <c r="E127" i="1" l="1"/>
  <c r="Q127" i="1"/>
  <c r="B131" i="1"/>
  <c r="F131" i="1"/>
  <c r="A132" i="1"/>
  <c r="C130" i="1"/>
  <c r="D130" i="1"/>
  <c r="E130" i="1" s="1"/>
  <c r="L130" i="1"/>
  <c r="K130" i="1"/>
  <c r="J130" i="1"/>
  <c r="I130" i="1"/>
  <c r="H130" i="1"/>
  <c r="G130" i="1"/>
  <c r="I131" i="1" l="1"/>
  <c r="H131" i="1"/>
  <c r="G131" i="1"/>
  <c r="J131" i="1"/>
  <c r="L131" i="1"/>
  <c r="K131" i="1"/>
  <c r="F132" i="1"/>
  <c r="A133" i="1"/>
  <c r="B132" i="1"/>
  <c r="C131" i="1"/>
  <c r="D131" i="1"/>
  <c r="E131" i="1" s="1"/>
  <c r="B133" i="1" l="1"/>
  <c r="A134" i="1"/>
  <c r="F133" i="1"/>
  <c r="D132" i="1"/>
  <c r="E132" i="1" s="1"/>
  <c r="C132" i="1"/>
  <c r="G132" i="1"/>
  <c r="L132" i="1"/>
  <c r="K132" i="1"/>
  <c r="J132" i="1"/>
  <c r="I132" i="1"/>
  <c r="H132" i="1"/>
  <c r="F134" i="1" l="1"/>
  <c r="B134" i="1"/>
  <c r="A135" i="1"/>
  <c r="K133" i="1"/>
  <c r="J133" i="1"/>
  <c r="L133" i="1"/>
  <c r="I133" i="1"/>
  <c r="H133" i="1"/>
  <c r="G133" i="1"/>
  <c r="C133" i="1"/>
  <c r="D133" i="1"/>
  <c r="E133" i="1" s="1"/>
  <c r="D134" i="1" l="1"/>
  <c r="E134" i="1" s="1"/>
  <c r="C134" i="1"/>
  <c r="B135" i="1"/>
  <c r="A136" i="1"/>
  <c r="F135" i="1"/>
  <c r="L134" i="1"/>
  <c r="K134" i="1"/>
  <c r="J134" i="1"/>
  <c r="I134" i="1"/>
  <c r="H134" i="1"/>
  <c r="G134" i="1"/>
  <c r="F136" i="1" l="1"/>
  <c r="B136" i="1"/>
  <c r="A137" i="1"/>
  <c r="L135" i="1"/>
  <c r="K135" i="1"/>
  <c r="J135" i="1"/>
  <c r="I135" i="1"/>
  <c r="H135" i="1"/>
  <c r="G135" i="1"/>
  <c r="C135" i="1"/>
  <c r="D135" i="1"/>
  <c r="E135" i="1" s="1"/>
  <c r="F137" i="1" l="1"/>
  <c r="A138" i="1"/>
  <c r="B137" i="1"/>
  <c r="D136" i="1"/>
  <c r="E136" i="1" s="1"/>
  <c r="C136" i="1"/>
  <c r="G136" i="1"/>
  <c r="K136" i="1"/>
  <c r="J136" i="1"/>
  <c r="I136" i="1"/>
  <c r="H136" i="1"/>
  <c r="L136" i="1"/>
  <c r="F138" i="1" l="1"/>
  <c r="B138" i="1"/>
  <c r="A139" i="1"/>
  <c r="D137" i="1"/>
  <c r="E137" i="1" s="1"/>
  <c r="C137" i="1"/>
  <c r="K137" i="1"/>
  <c r="J137" i="1"/>
  <c r="H137" i="1"/>
  <c r="G137" i="1"/>
  <c r="L137" i="1"/>
  <c r="I137" i="1"/>
  <c r="B139" i="1" l="1"/>
  <c r="A140" i="1"/>
  <c r="F139" i="1"/>
  <c r="D138" i="1"/>
  <c r="E138" i="1" s="1"/>
  <c r="C138" i="1"/>
  <c r="L138" i="1"/>
  <c r="K138" i="1"/>
  <c r="J138" i="1"/>
  <c r="H138" i="1"/>
  <c r="G138" i="1"/>
  <c r="I138" i="1"/>
  <c r="F140" i="1" l="1"/>
  <c r="B140" i="1"/>
  <c r="A141" i="1"/>
  <c r="L139" i="1"/>
  <c r="K139" i="1"/>
  <c r="J139" i="1"/>
  <c r="I139" i="1"/>
  <c r="H139" i="1"/>
  <c r="G139" i="1"/>
  <c r="C139" i="1"/>
  <c r="D139" i="1"/>
  <c r="E139" i="1" s="1"/>
  <c r="D140" i="1" l="1"/>
  <c r="E140" i="1" s="1"/>
  <c r="C140" i="1"/>
  <c r="F141" i="1"/>
  <c r="A142" i="1"/>
  <c r="B141" i="1"/>
  <c r="G140" i="1"/>
  <c r="J140" i="1"/>
  <c r="I140" i="1"/>
  <c r="H140" i="1"/>
  <c r="L140" i="1"/>
  <c r="K140" i="1"/>
  <c r="K141" i="1" l="1"/>
  <c r="J141" i="1"/>
  <c r="H141" i="1"/>
  <c r="G141" i="1"/>
  <c r="L141" i="1"/>
  <c r="I141" i="1"/>
  <c r="D141" i="1"/>
  <c r="E141" i="1" s="1"/>
  <c r="C141" i="1"/>
  <c r="F142" i="1"/>
  <c r="B142" i="1"/>
  <c r="A143" i="1"/>
  <c r="B143" i="1" l="1"/>
  <c r="A144" i="1"/>
  <c r="F143" i="1"/>
  <c r="D142" i="1"/>
  <c r="E142" i="1" s="1"/>
  <c r="C142" i="1"/>
  <c r="L142" i="1"/>
  <c r="K142" i="1"/>
  <c r="J142" i="1"/>
  <c r="G142" i="1"/>
  <c r="I142" i="1"/>
  <c r="H142" i="1"/>
  <c r="L143" i="1" l="1"/>
  <c r="K143" i="1"/>
  <c r="J143" i="1"/>
  <c r="I143" i="1"/>
  <c r="H143" i="1"/>
  <c r="G143" i="1"/>
  <c r="F144" i="1"/>
  <c r="B144" i="1"/>
  <c r="A145" i="1"/>
  <c r="C143" i="1"/>
  <c r="D143" i="1"/>
  <c r="E143" i="1" s="1"/>
  <c r="D144" i="1" l="1"/>
  <c r="E144" i="1" s="1"/>
  <c r="C144" i="1"/>
  <c r="F145" i="1"/>
  <c r="A146" i="1"/>
  <c r="B145" i="1"/>
  <c r="G144" i="1"/>
  <c r="I144" i="1"/>
  <c r="H144" i="1"/>
  <c r="L144" i="1"/>
  <c r="K144" i="1"/>
  <c r="J144" i="1"/>
  <c r="D145" i="1" l="1"/>
  <c r="E145" i="1" s="1"/>
  <c r="C145" i="1"/>
  <c r="F146" i="1"/>
  <c r="B146" i="1"/>
  <c r="A147" i="1"/>
  <c r="K145" i="1"/>
  <c r="J145" i="1"/>
  <c r="H145" i="1"/>
  <c r="G145" i="1"/>
  <c r="L145" i="1"/>
  <c r="I145" i="1"/>
  <c r="B147" i="1" l="1"/>
  <c r="A148" i="1"/>
  <c r="F147" i="1"/>
  <c r="D146" i="1"/>
  <c r="E146" i="1" s="1"/>
  <c r="C146" i="1"/>
  <c r="L146" i="1"/>
  <c r="K146" i="1"/>
  <c r="J146" i="1"/>
  <c r="I146" i="1"/>
  <c r="H146" i="1"/>
  <c r="G146" i="1"/>
  <c r="L147" i="1" l="1"/>
  <c r="K147" i="1"/>
  <c r="J147" i="1"/>
  <c r="I147" i="1"/>
  <c r="H147" i="1"/>
  <c r="G147" i="1"/>
  <c r="F148" i="1"/>
  <c r="B148" i="1"/>
  <c r="A149" i="1"/>
  <c r="C147" i="1"/>
  <c r="D147" i="1"/>
  <c r="E147" i="1" s="1"/>
  <c r="F149" i="1" l="1"/>
  <c r="A150" i="1"/>
  <c r="B149" i="1"/>
  <c r="G148" i="1"/>
  <c r="H148" i="1"/>
  <c r="J148" i="1"/>
  <c r="I148" i="1"/>
  <c r="L148" i="1"/>
  <c r="K148" i="1"/>
  <c r="D148" i="1"/>
  <c r="E148" i="1" s="1"/>
  <c r="C148" i="1"/>
  <c r="D149" i="1" l="1"/>
  <c r="E149" i="1" s="1"/>
  <c r="C149" i="1"/>
  <c r="B150" i="1"/>
  <c r="A151" i="1"/>
  <c r="F150" i="1"/>
  <c r="K149" i="1"/>
  <c r="J149" i="1"/>
  <c r="H149" i="1"/>
  <c r="G149" i="1"/>
  <c r="L149" i="1"/>
  <c r="I149" i="1"/>
  <c r="L150" i="1" l="1"/>
  <c r="K150" i="1"/>
  <c r="J150" i="1"/>
  <c r="I150" i="1"/>
  <c r="H150" i="1"/>
  <c r="G150" i="1"/>
  <c r="B151" i="1"/>
  <c r="A152" i="1"/>
  <c r="F151" i="1"/>
  <c r="D150" i="1"/>
  <c r="E150" i="1" s="1"/>
  <c r="C150" i="1"/>
  <c r="F152" i="1" l="1"/>
  <c r="B152" i="1"/>
  <c r="A153" i="1"/>
  <c r="L151" i="1"/>
  <c r="K151" i="1"/>
  <c r="J151" i="1"/>
  <c r="I151" i="1"/>
  <c r="H151" i="1"/>
  <c r="G151" i="1"/>
  <c r="C151" i="1"/>
  <c r="D151" i="1"/>
  <c r="E151" i="1" s="1"/>
  <c r="D152" i="1" l="1"/>
  <c r="E152" i="1" s="1"/>
  <c r="C152" i="1"/>
  <c r="F153" i="1"/>
  <c r="A154" i="1"/>
  <c r="B153" i="1"/>
  <c r="G152" i="1"/>
  <c r="K152" i="1"/>
  <c r="J152" i="1"/>
  <c r="I152" i="1"/>
  <c r="H152" i="1"/>
  <c r="L152" i="1"/>
  <c r="D153" i="1" l="1"/>
  <c r="E153" i="1" s="1"/>
  <c r="C153" i="1"/>
  <c r="B154" i="1"/>
  <c r="F154" i="1"/>
  <c r="A155" i="1"/>
  <c r="K153" i="1"/>
  <c r="J153" i="1"/>
  <c r="H153" i="1"/>
  <c r="G153" i="1"/>
  <c r="L153" i="1"/>
  <c r="I153" i="1"/>
  <c r="B155" i="1" l="1"/>
  <c r="A156" i="1"/>
  <c r="F155" i="1"/>
  <c r="L154" i="1"/>
  <c r="K154" i="1"/>
  <c r="J154" i="1"/>
  <c r="I154" i="1"/>
  <c r="H154" i="1"/>
  <c r="G154" i="1"/>
  <c r="D154" i="1"/>
  <c r="E154" i="1" s="1"/>
  <c r="C154" i="1"/>
  <c r="L155" i="1" l="1"/>
  <c r="K155" i="1"/>
  <c r="J155" i="1"/>
  <c r="I155" i="1"/>
  <c r="H155" i="1"/>
  <c r="G155" i="1"/>
  <c r="F156" i="1"/>
  <c r="B156" i="1"/>
  <c r="A157" i="1"/>
  <c r="C155" i="1"/>
  <c r="D155" i="1"/>
  <c r="E155" i="1" s="1"/>
  <c r="F157" i="1" l="1"/>
  <c r="A158" i="1"/>
  <c r="B157" i="1"/>
  <c r="G156" i="1"/>
  <c r="H156" i="1"/>
  <c r="L156" i="1"/>
  <c r="K156" i="1"/>
  <c r="J156" i="1"/>
  <c r="I156" i="1"/>
  <c r="D156" i="1"/>
  <c r="E156" i="1" s="1"/>
  <c r="C156" i="1"/>
  <c r="D157" i="1" l="1"/>
  <c r="E157" i="1" s="1"/>
  <c r="C157" i="1"/>
  <c r="B158" i="1"/>
  <c r="A159" i="1"/>
  <c r="F158" i="1"/>
  <c r="K157" i="1"/>
  <c r="J157" i="1"/>
  <c r="H157" i="1"/>
  <c r="G157" i="1"/>
  <c r="L157" i="1"/>
  <c r="I157" i="1"/>
  <c r="B159" i="1" l="1"/>
  <c r="F159" i="1"/>
  <c r="A160" i="1"/>
  <c r="C158" i="1"/>
  <c r="D158" i="1"/>
  <c r="E158" i="1" s="1"/>
  <c r="L158" i="1"/>
  <c r="K158" i="1"/>
  <c r="J158" i="1"/>
  <c r="I158" i="1"/>
  <c r="H158" i="1"/>
  <c r="G158" i="1"/>
  <c r="F160" i="1" l="1"/>
  <c r="B160" i="1"/>
  <c r="A161" i="1"/>
  <c r="L159" i="1"/>
  <c r="K159" i="1"/>
  <c r="J159" i="1"/>
  <c r="I159" i="1"/>
  <c r="H159" i="1"/>
  <c r="G159" i="1"/>
  <c r="C159" i="1"/>
  <c r="D159" i="1"/>
  <c r="E159" i="1" s="1"/>
  <c r="D160" i="1" l="1"/>
  <c r="E160" i="1" s="1"/>
  <c r="C160" i="1"/>
  <c r="F161" i="1"/>
  <c r="A162" i="1"/>
  <c r="B161" i="1"/>
  <c r="G160" i="1"/>
  <c r="L160" i="1"/>
  <c r="K160" i="1"/>
  <c r="J160" i="1"/>
  <c r="I160" i="1"/>
  <c r="H160" i="1"/>
  <c r="B162" i="1" l="1"/>
  <c r="A163" i="1"/>
  <c r="F162" i="1"/>
  <c r="K161" i="1"/>
  <c r="J161" i="1"/>
  <c r="H161" i="1"/>
  <c r="G161" i="1"/>
  <c r="L161" i="1"/>
  <c r="I161" i="1"/>
  <c r="D161" i="1"/>
  <c r="E161" i="1" s="1"/>
  <c r="C161" i="1"/>
  <c r="L162" i="1" l="1"/>
  <c r="K162" i="1"/>
  <c r="J162" i="1"/>
  <c r="I162" i="1"/>
  <c r="H162" i="1"/>
  <c r="G162" i="1"/>
  <c r="B163" i="1"/>
  <c r="F163" i="1"/>
  <c r="A164" i="1"/>
  <c r="D162" i="1"/>
  <c r="E162" i="1" s="1"/>
  <c r="C162" i="1"/>
  <c r="K163" i="1" l="1"/>
  <c r="J163" i="1"/>
  <c r="I163" i="1"/>
  <c r="H163" i="1"/>
  <c r="G163" i="1"/>
  <c r="L163" i="1"/>
  <c r="F164" i="1"/>
  <c r="B164" i="1"/>
  <c r="A165" i="1"/>
  <c r="C163" i="1"/>
  <c r="D163" i="1"/>
  <c r="E163" i="1" s="1"/>
  <c r="D164" i="1" l="1"/>
  <c r="E164" i="1" s="1"/>
  <c r="C164" i="1"/>
  <c r="F165" i="1"/>
  <c r="A166" i="1"/>
  <c r="B165" i="1"/>
  <c r="G164" i="1"/>
  <c r="L164" i="1"/>
  <c r="K164" i="1"/>
  <c r="J164" i="1"/>
  <c r="I164" i="1"/>
  <c r="H164" i="1"/>
  <c r="D165" i="1" l="1"/>
  <c r="E165" i="1" s="1"/>
  <c r="C165" i="1"/>
  <c r="A167" i="1"/>
  <c r="F166" i="1"/>
  <c r="B166" i="1"/>
  <c r="K165" i="1"/>
  <c r="J165" i="1"/>
  <c r="H165" i="1"/>
  <c r="G165" i="1"/>
  <c r="L165" i="1"/>
  <c r="I165" i="1"/>
  <c r="D166" i="1" l="1"/>
  <c r="E166" i="1" s="1"/>
  <c r="C166" i="1"/>
  <c r="L166" i="1"/>
  <c r="K166" i="1"/>
  <c r="J166" i="1"/>
  <c r="I166" i="1"/>
  <c r="H166" i="1"/>
  <c r="G166" i="1"/>
  <c r="B167" i="1"/>
  <c r="F167" i="1"/>
  <c r="A168" i="1"/>
  <c r="F168" i="1" l="1"/>
  <c r="B168" i="1"/>
  <c r="A169" i="1"/>
  <c r="J167" i="1"/>
  <c r="I167" i="1"/>
  <c r="H167" i="1"/>
  <c r="G167" i="1"/>
  <c r="L167" i="1"/>
  <c r="K167" i="1"/>
  <c r="C167" i="1"/>
  <c r="D167" i="1"/>
  <c r="E167" i="1" s="1"/>
  <c r="D168" i="1" l="1"/>
  <c r="E168" i="1" s="1"/>
  <c r="C168" i="1"/>
  <c r="F169" i="1"/>
  <c r="B169" i="1"/>
  <c r="A170" i="1"/>
  <c r="G168" i="1"/>
  <c r="L168" i="1"/>
  <c r="K168" i="1"/>
  <c r="J168" i="1"/>
  <c r="I168" i="1"/>
  <c r="H168" i="1"/>
  <c r="D169" i="1" l="1"/>
  <c r="E169" i="1" s="1"/>
  <c r="C169" i="1"/>
  <c r="A171" i="1"/>
  <c r="F170" i="1"/>
  <c r="B170" i="1"/>
  <c r="K169" i="1"/>
  <c r="J169" i="1"/>
  <c r="H169" i="1"/>
  <c r="G169" i="1"/>
  <c r="L169" i="1"/>
  <c r="I169" i="1"/>
  <c r="D170" i="1" l="1"/>
  <c r="E170" i="1" s="1"/>
  <c r="C170" i="1"/>
  <c r="L170" i="1"/>
  <c r="K170" i="1"/>
  <c r="J170" i="1"/>
  <c r="I170" i="1"/>
  <c r="H170" i="1"/>
  <c r="G170" i="1"/>
  <c r="B171" i="1"/>
  <c r="F171" i="1"/>
  <c r="A172" i="1"/>
  <c r="C171" i="1" l="1"/>
  <c r="D171" i="1"/>
  <c r="E171" i="1" s="1"/>
  <c r="F172" i="1"/>
  <c r="B172" i="1"/>
  <c r="A173" i="1"/>
  <c r="I171" i="1"/>
  <c r="J171" i="1"/>
  <c r="H171" i="1"/>
  <c r="G171" i="1"/>
  <c r="L171" i="1"/>
  <c r="K171" i="1"/>
  <c r="G172" i="1" l="1"/>
  <c r="L172" i="1"/>
  <c r="K172" i="1"/>
  <c r="J172" i="1"/>
  <c r="I172" i="1"/>
  <c r="H172" i="1"/>
  <c r="F173" i="1"/>
  <c r="A174" i="1"/>
  <c r="B173" i="1"/>
  <c r="D172" i="1"/>
  <c r="E172" i="1" s="1"/>
  <c r="C172" i="1"/>
  <c r="D173" i="1" l="1"/>
  <c r="E173" i="1" s="1"/>
  <c r="C173" i="1"/>
  <c r="A175" i="1"/>
  <c r="F174" i="1"/>
  <c r="B174" i="1"/>
  <c r="K173" i="1"/>
  <c r="J173" i="1"/>
  <c r="H173" i="1"/>
  <c r="G173" i="1"/>
  <c r="L173" i="1"/>
  <c r="I173" i="1"/>
  <c r="B175" i="1" l="1"/>
  <c r="A176" i="1"/>
  <c r="F175" i="1"/>
  <c r="D174" i="1"/>
  <c r="E174" i="1" s="1"/>
  <c r="C174" i="1"/>
  <c r="L174" i="1"/>
  <c r="K174" i="1"/>
  <c r="J174" i="1"/>
  <c r="I174" i="1"/>
  <c r="H174" i="1"/>
  <c r="G174" i="1"/>
  <c r="K175" i="1" l="1"/>
  <c r="I175" i="1"/>
  <c r="L175" i="1"/>
  <c r="J175" i="1"/>
  <c r="H175" i="1"/>
  <c r="G175" i="1"/>
  <c r="A177" i="1"/>
  <c r="F176" i="1"/>
  <c r="B176" i="1"/>
  <c r="C175" i="1"/>
  <c r="D175" i="1"/>
  <c r="E175" i="1" s="1"/>
  <c r="D176" i="1" l="1"/>
  <c r="E176" i="1" s="1"/>
  <c r="C176" i="1"/>
  <c r="H176" i="1"/>
  <c r="G176" i="1"/>
  <c r="L176" i="1"/>
  <c r="K176" i="1"/>
  <c r="J176" i="1"/>
  <c r="I176" i="1"/>
  <c r="A178" i="1"/>
  <c r="B177" i="1"/>
  <c r="F177" i="1"/>
  <c r="L177" i="1" l="1"/>
  <c r="J177" i="1"/>
  <c r="I177" i="1"/>
  <c r="H177" i="1"/>
  <c r="K177" i="1"/>
  <c r="G177" i="1"/>
  <c r="A179" i="1"/>
  <c r="B178" i="1"/>
  <c r="F178" i="1"/>
  <c r="C177" i="1"/>
  <c r="D177" i="1"/>
  <c r="E177" i="1" s="1"/>
  <c r="D178" i="1" l="1"/>
  <c r="E178" i="1" s="1"/>
  <c r="C178" i="1"/>
  <c r="F179" i="1"/>
  <c r="B179" i="1"/>
  <c r="A180" i="1"/>
  <c r="G178" i="1"/>
  <c r="H178" i="1"/>
  <c r="L178" i="1"/>
  <c r="K178" i="1"/>
  <c r="J178" i="1"/>
  <c r="I178" i="1"/>
  <c r="F180" i="1" l="1"/>
  <c r="B180" i="1"/>
  <c r="A181" i="1"/>
  <c r="C179" i="1"/>
  <c r="D179" i="1"/>
  <c r="E179" i="1" s="1"/>
  <c r="K179" i="1"/>
  <c r="L179" i="1"/>
  <c r="J179" i="1"/>
  <c r="I179" i="1"/>
  <c r="H179" i="1"/>
  <c r="G179" i="1"/>
  <c r="D180" i="1" l="1"/>
  <c r="E180" i="1" s="1"/>
  <c r="C180" i="1"/>
  <c r="A182" i="1"/>
  <c r="F181" i="1"/>
  <c r="B181" i="1"/>
  <c r="K180" i="1"/>
  <c r="J180" i="1"/>
  <c r="H180" i="1"/>
  <c r="G180" i="1"/>
  <c r="I180" i="1"/>
  <c r="L180" i="1"/>
  <c r="C181" i="1" l="1"/>
  <c r="D181" i="1"/>
  <c r="E181" i="1" s="1"/>
  <c r="L181" i="1"/>
  <c r="K181" i="1"/>
  <c r="J181" i="1"/>
  <c r="I181" i="1"/>
  <c r="H181" i="1"/>
  <c r="G181" i="1"/>
  <c r="F182" i="1"/>
  <c r="A183" i="1"/>
  <c r="B182" i="1"/>
  <c r="G182" i="1" l="1"/>
  <c r="L182" i="1"/>
  <c r="K182" i="1"/>
  <c r="J182" i="1"/>
  <c r="I182" i="1"/>
  <c r="H182" i="1"/>
  <c r="F183" i="1"/>
  <c r="A184" i="1"/>
  <c r="B183" i="1"/>
  <c r="D182" i="1"/>
  <c r="E182" i="1" s="1"/>
  <c r="C182" i="1"/>
  <c r="D183" i="1" l="1"/>
  <c r="E183" i="1" s="1"/>
  <c r="C183" i="1"/>
  <c r="K183" i="1"/>
  <c r="J183" i="1"/>
  <c r="L183" i="1"/>
  <c r="I183" i="1"/>
  <c r="G183" i="1"/>
  <c r="H183" i="1"/>
  <c r="A185" i="1"/>
  <c r="F184" i="1"/>
  <c r="B184" i="1"/>
  <c r="L184" i="1" l="1"/>
  <c r="K184" i="1"/>
  <c r="J184" i="1"/>
  <c r="I184" i="1"/>
  <c r="H184" i="1"/>
  <c r="G184" i="1"/>
  <c r="D184" i="1"/>
  <c r="E184" i="1" s="1"/>
  <c r="C184" i="1"/>
  <c r="B185" i="1"/>
  <c r="F185" i="1"/>
  <c r="A186" i="1"/>
  <c r="F186" i="1" l="1"/>
  <c r="A187" i="1"/>
  <c r="B186" i="1"/>
  <c r="C185" i="1"/>
  <c r="D185" i="1"/>
  <c r="E185" i="1" s="1"/>
  <c r="L185" i="1"/>
  <c r="H185" i="1"/>
  <c r="G185" i="1"/>
  <c r="K185" i="1"/>
  <c r="J185" i="1"/>
  <c r="I185" i="1"/>
  <c r="D186" i="1" l="1"/>
  <c r="E186" i="1" s="1"/>
  <c r="C186" i="1"/>
  <c r="A188" i="1"/>
  <c r="F187" i="1"/>
  <c r="B187" i="1"/>
  <c r="G186" i="1"/>
  <c r="L186" i="1"/>
  <c r="K186" i="1"/>
  <c r="I186" i="1"/>
  <c r="H186" i="1"/>
  <c r="J186" i="1"/>
  <c r="D187" i="1" l="1"/>
  <c r="E187" i="1" s="1"/>
  <c r="C187" i="1"/>
  <c r="K187" i="1"/>
  <c r="J187" i="1"/>
  <c r="L187" i="1"/>
  <c r="I187" i="1"/>
  <c r="H187" i="1"/>
  <c r="G187" i="1"/>
  <c r="F188" i="1"/>
  <c r="B188" i="1"/>
  <c r="A189" i="1"/>
  <c r="B189" i="1" l="1"/>
  <c r="A190" i="1"/>
  <c r="F189" i="1"/>
  <c r="C188" i="1"/>
  <c r="D188" i="1"/>
  <c r="E188" i="1" s="1"/>
  <c r="L188" i="1"/>
  <c r="K188" i="1"/>
  <c r="J188" i="1"/>
  <c r="I188" i="1"/>
  <c r="H188" i="1"/>
  <c r="G188" i="1"/>
  <c r="F190" i="1" l="1"/>
  <c r="A191" i="1"/>
  <c r="B190" i="1"/>
  <c r="L189" i="1"/>
  <c r="K189" i="1"/>
  <c r="I189" i="1"/>
  <c r="H189" i="1"/>
  <c r="G189" i="1"/>
  <c r="J189" i="1"/>
  <c r="C189" i="1"/>
  <c r="D189" i="1"/>
  <c r="E189" i="1" s="1"/>
  <c r="F191" i="1" l="1"/>
  <c r="B191" i="1"/>
  <c r="A192" i="1"/>
  <c r="D190" i="1"/>
  <c r="E190" i="1" s="1"/>
  <c r="C190" i="1"/>
  <c r="G190" i="1"/>
  <c r="H190" i="1"/>
  <c r="J190" i="1"/>
  <c r="I190" i="1"/>
  <c r="L190" i="1"/>
  <c r="K190" i="1"/>
  <c r="C191" i="1" l="1"/>
  <c r="D191" i="1"/>
  <c r="E191" i="1" s="1"/>
  <c r="A193" i="1"/>
  <c r="B192" i="1"/>
  <c r="F192" i="1"/>
  <c r="K191" i="1"/>
  <c r="J191" i="1"/>
  <c r="I191" i="1"/>
  <c r="L191" i="1"/>
  <c r="H191" i="1"/>
  <c r="G191" i="1"/>
  <c r="L192" i="1" l="1"/>
  <c r="J192" i="1"/>
  <c r="I192" i="1"/>
  <c r="H192" i="1"/>
  <c r="K192" i="1"/>
  <c r="G192" i="1"/>
  <c r="C192" i="1"/>
  <c r="D192" i="1"/>
  <c r="E192" i="1" s="1"/>
  <c r="B193" i="1"/>
  <c r="F193" i="1"/>
  <c r="A194" i="1"/>
  <c r="J193" i="1" l="1"/>
  <c r="I193" i="1"/>
  <c r="H193" i="1"/>
  <c r="G193" i="1"/>
  <c r="L193" i="1"/>
  <c r="K193" i="1"/>
  <c r="C193" i="1"/>
  <c r="D193" i="1"/>
  <c r="E193" i="1" s="1"/>
  <c r="F194" i="1"/>
  <c r="B194" i="1"/>
  <c r="A195" i="1"/>
  <c r="A196" i="1" l="1"/>
  <c r="F195" i="1"/>
  <c r="B195" i="1"/>
  <c r="G194" i="1"/>
  <c r="K194" i="1"/>
  <c r="J194" i="1"/>
  <c r="H194" i="1"/>
  <c r="L194" i="1"/>
  <c r="I194" i="1"/>
  <c r="D194" i="1"/>
  <c r="E194" i="1" s="1"/>
  <c r="C194" i="1"/>
  <c r="K195" i="1" l="1"/>
  <c r="J195" i="1"/>
  <c r="I195" i="1"/>
  <c r="L195" i="1"/>
  <c r="H195" i="1"/>
  <c r="G195" i="1"/>
  <c r="D195" i="1"/>
  <c r="E195" i="1" s="1"/>
  <c r="C195" i="1"/>
  <c r="A197" i="1"/>
  <c r="F196" i="1"/>
  <c r="B196" i="1"/>
  <c r="B197" i="1" l="1"/>
  <c r="A198" i="1"/>
  <c r="F197" i="1"/>
  <c r="C196" i="1"/>
  <c r="D196" i="1"/>
  <c r="E196" i="1" s="1"/>
  <c r="L196" i="1"/>
  <c r="K196" i="1"/>
  <c r="J196" i="1"/>
  <c r="I196" i="1"/>
  <c r="H196" i="1"/>
  <c r="G196" i="1"/>
  <c r="L197" i="1" l="1"/>
  <c r="J197" i="1"/>
  <c r="I197" i="1"/>
  <c r="H197" i="1"/>
  <c r="G197" i="1"/>
  <c r="K197" i="1"/>
  <c r="F198" i="1"/>
  <c r="A199" i="1"/>
  <c r="B198" i="1"/>
  <c r="C197" i="1"/>
  <c r="D197" i="1"/>
  <c r="E197" i="1" s="1"/>
  <c r="B199" i="1" l="1"/>
  <c r="A200" i="1"/>
  <c r="F199" i="1"/>
  <c r="D198" i="1"/>
  <c r="E198" i="1" s="1"/>
  <c r="C198" i="1"/>
  <c r="G198" i="1"/>
  <c r="J198" i="1"/>
  <c r="I198" i="1"/>
  <c r="L198" i="1"/>
  <c r="K198" i="1"/>
  <c r="H198" i="1"/>
  <c r="A201" i="1" l="1"/>
  <c r="F200" i="1"/>
  <c r="B200" i="1"/>
  <c r="K199" i="1"/>
  <c r="J199" i="1"/>
  <c r="I199" i="1"/>
  <c r="H199" i="1"/>
  <c r="G199" i="1"/>
  <c r="L199" i="1"/>
  <c r="D199" i="1"/>
  <c r="E199" i="1" s="1"/>
  <c r="C199" i="1"/>
  <c r="L200" i="1" l="1"/>
  <c r="K200" i="1"/>
  <c r="J200" i="1"/>
  <c r="I200" i="1"/>
  <c r="H200" i="1"/>
  <c r="G200" i="1"/>
  <c r="D200" i="1"/>
  <c r="E200" i="1" s="1"/>
  <c r="C200" i="1"/>
  <c r="B201" i="1"/>
  <c r="F201" i="1"/>
  <c r="A202" i="1"/>
  <c r="F202" i="1" l="1"/>
  <c r="A203" i="1"/>
  <c r="B202" i="1"/>
  <c r="L201" i="1"/>
  <c r="K201" i="1"/>
  <c r="J201" i="1"/>
  <c r="I201" i="1"/>
  <c r="H201" i="1"/>
  <c r="G201" i="1"/>
  <c r="C201" i="1"/>
  <c r="D201" i="1"/>
  <c r="E201" i="1" s="1"/>
  <c r="A204" i="1" l="1"/>
  <c r="F203" i="1"/>
  <c r="B203" i="1"/>
  <c r="D202" i="1"/>
  <c r="E202" i="1" s="1"/>
  <c r="C202" i="1"/>
  <c r="G202" i="1"/>
  <c r="L202" i="1"/>
  <c r="J202" i="1"/>
  <c r="I202" i="1"/>
  <c r="H202" i="1"/>
  <c r="K202" i="1"/>
  <c r="K203" i="1" l="1"/>
  <c r="J203" i="1"/>
  <c r="I203" i="1"/>
  <c r="G203" i="1"/>
  <c r="L203" i="1"/>
  <c r="H203" i="1"/>
  <c r="D203" i="1"/>
  <c r="E203" i="1" s="1"/>
  <c r="C203" i="1"/>
  <c r="A205" i="1"/>
  <c r="B204" i="1"/>
  <c r="F204" i="1"/>
  <c r="B205" i="1" l="1"/>
  <c r="A206" i="1"/>
  <c r="F205" i="1"/>
  <c r="H204" i="1"/>
  <c r="G204" i="1"/>
  <c r="L204" i="1"/>
  <c r="K204" i="1"/>
  <c r="J204" i="1"/>
  <c r="I204" i="1"/>
  <c r="D204" i="1"/>
  <c r="E204" i="1" s="1"/>
  <c r="C204" i="1"/>
  <c r="F206" i="1" l="1"/>
  <c r="B206" i="1"/>
  <c r="A207" i="1"/>
  <c r="L205" i="1"/>
  <c r="K205" i="1"/>
  <c r="J205" i="1"/>
  <c r="I205" i="1"/>
  <c r="H205" i="1"/>
  <c r="G205" i="1"/>
  <c r="C205" i="1"/>
  <c r="D205" i="1"/>
  <c r="E205" i="1" s="1"/>
  <c r="C206" i="1" l="1"/>
  <c r="D206" i="1"/>
  <c r="E206" i="1" s="1"/>
  <c r="A208" i="1"/>
  <c r="F207" i="1"/>
  <c r="B207" i="1"/>
  <c r="G206" i="1"/>
  <c r="L206" i="1"/>
  <c r="K206" i="1"/>
  <c r="J206" i="1"/>
  <c r="I206" i="1"/>
  <c r="H206" i="1"/>
  <c r="K207" i="1" l="1"/>
  <c r="J207" i="1"/>
  <c r="I207" i="1"/>
  <c r="L207" i="1"/>
  <c r="H207" i="1"/>
  <c r="G207" i="1"/>
  <c r="D207" i="1"/>
  <c r="E207" i="1" s="1"/>
  <c r="C207" i="1"/>
  <c r="A209" i="1"/>
  <c r="F208" i="1"/>
  <c r="B208" i="1"/>
  <c r="D208" i="1" l="1"/>
  <c r="E208" i="1" s="1"/>
  <c r="C208" i="1"/>
  <c r="L208" i="1"/>
  <c r="K208" i="1"/>
  <c r="J208" i="1"/>
  <c r="G208" i="1"/>
  <c r="I208" i="1"/>
  <c r="H208" i="1"/>
  <c r="B209" i="1"/>
  <c r="F209" i="1"/>
  <c r="A210" i="1"/>
  <c r="C209" i="1" l="1"/>
  <c r="D209" i="1"/>
  <c r="E209" i="1" s="1"/>
  <c r="F210" i="1"/>
  <c r="A211" i="1"/>
  <c r="B210" i="1"/>
  <c r="H209" i="1"/>
  <c r="G209" i="1"/>
  <c r="L209" i="1"/>
  <c r="K209" i="1"/>
  <c r="J209" i="1"/>
  <c r="I209" i="1"/>
  <c r="D210" i="1" l="1"/>
  <c r="E210" i="1" s="1"/>
  <c r="C210" i="1"/>
  <c r="B211" i="1"/>
  <c r="A212" i="1"/>
  <c r="F211" i="1"/>
  <c r="G210" i="1"/>
  <c r="L210" i="1"/>
  <c r="K210" i="1"/>
  <c r="J210" i="1"/>
  <c r="I210" i="1"/>
  <c r="H210" i="1"/>
  <c r="K211" i="1" l="1"/>
  <c r="J211" i="1"/>
  <c r="I211" i="1"/>
  <c r="G211" i="1"/>
  <c r="L211" i="1"/>
  <c r="H211" i="1"/>
  <c r="A213" i="1"/>
  <c r="F212" i="1"/>
  <c r="B212" i="1"/>
  <c r="C211" i="1"/>
  <c r="D211" i="1"/>
  <c r="E211" i="1" s="1"/>
  <c r="D212" i="1" l="1"/>
  <c r="E212" i="1" s="1"/>
  <c r="C212" i="1"/>
  <c r="K212" i="1"/>
  <c r="L212" i="1"/>
  <c r="J212" i="1"/>
  <c r="I212" i="1"/>
  <c r="H212" i="1"/>
  <c r="G212" i="1"/>
  <c r="B213" i="1"/>
  <c r="A214" i="1"/>
  <c r="F213" i="1"/>
  <c r="F214" i="1" l="1"/>
  <c r="B214" i="1"/>
  <c r="A215" i="1"/>
  <c r="C213" i="1"/>
  <c r="D213" i="1"/>
  <c r="E213" i="1" s="1"/>
  <c r="L213" i="1"/>
  <c r="K213" i="1"/>
  <c r="I213" i="1"/>
  <c r="H213" i="1"/>
  <c r="J213" i="1"/>
  <c r="G213" i="1"/>
  <c r="A216" i="1" l="1"/>
  <c r="F215" i="1"/>
  <c r="B215" i="1"/>
  <c r="C214" i="1"/>
  <c r="D214" i="1"/>
  <c r="E214" i="1" s="1"/>
  <c r="G214" i="1"/>
  <c r="K214" i="1"/>
  <c r="J214" i="1"/>
  <c r="I214" i="1"/>
  <c r="H214" i="1"/>
  <c r="L214" i="1"/>
  <c r="K215" i="1" l="1"/>
  <c r="J215" i="1"/>
  <c r="I215" i="1"/>
  <c r="G215" i="1"/>
  <c r="L215" i="1"/>
  <c r="H215" i="1"/>
  <c r="D215" i="1"/>
  <c r="E215" i="1" s="1"/>
  <c r="C215" i="1"/>
  <c r="A217" i="1"/>
  <c r="F216" i="1"/>
  <c r="B216" i="1"/>
  <c r="D216" i="1" l="1"/>
  <c r="E216" i="1" s="1"/>
  <c r="C216" i="1"/>
  <c r="B217" i="1"/>
  <c r="A218" i="1"/>
  <c r="F217" i="1"/>
  <c r="K216" i="1"/>
  <c r="G216" i="1"/>
  <c r="L216" i="1"/>
  <c r="J216" i="1"/>
  <c r="I216" i="1"/>
  <c r="H216" i="1"/>
  <c r="C217" i="1" l="1"/>
  <c r="D217" i="1"/>
  <c r="E217" i="1" s="1"/>
  <c r="L217" i="1"/>
  <c r="K217" i="1"/>
  <c r="J217" i="1"/>
  <c r="I217" i="1"/>
  <c r="H217" i="1"/>
  <c r="G217" i="1"/>
  <c r="F218" i="1"/>
  <c r="B218" i="1"/>
  <c r="A219" i="1"/>
  <c r="G218" i="1" l="1"/>
  <c r="L218" i="1"/>
  <c r="I218" i="1"/>
  <c r="H218" i="1"/>
  <c r="K218" i="1"/>
  <c r="J218" i="1"/>
  <c r="A220" i="1"/>
  <c r="F219" i="1"/>
  <c r="B219" i="1"/>
  <c r="C218" i="1"/>
  <c r="D218" i="1"/>
  <c r="E218" i="1" s="1"/>
  <c r="D219" i="1" l="1"/>
  <c r="E219" i="1" s="1"/>
  <c r="C219" i="1"/>
  <c r="K219" i="1"/>
  <c r="J219" i="1"/>
  <c r="I219" i="1"/>
  <c r="G219" i="1"/>
  <c r="L219" i="1"/>
  <c r="H219" i="1"/>
  <c r="A221" i="1"/>
  <c r="B220" i="1"/>
  <c r="F220" i="1"/>
  <c r="C220" i="1" l="1"/>
  <c r="D220" i="1"/>
  <c r="E220" i="1" s="1"/>
  <c r="K220" i="1"/>
  <c r="L220" i="1"/>
  <c r="I220" i="1"/>
  <c r="H220" i="1"/>
  <c r="J220" i="1"/>
  <c r="G220" i="1"/>
  <c r="B221" i="1"/>
  <c r="F221" i="1"/>
  <c r="A222" i="1"/>
  <c r="F222" i="1" l="1"/>
  <c r="A223" i="1"/>
  <c r="B222" i="1"/>
  <c r="K221" i="1"/>
  <c r="J221" i="1"/>
  <c r="I221" i="1"/>
  <c r="H221" i="1"/>
  <c r="G221" i="1"/>
  <c r="L221" i="1"/>
  <c r="C221" i="1"/>
  <c r="D221" i="1"/>
  <c r="E221" i="1" s="1"/>
  <c r="F223" i="1" l="1"/>
  <c r="B223" i="1"/>
  <c r="A224" i="1"/>
  <c r="C222" i="1"/>
  <c r="D222" i="1"/>
  <c r="E222" i="1" s="1"/>
  <c r="G222" i="1"/>
  <c r="L222" i="1"/>
  <c r="K222" i="1"/>
  <c r="J222" i="1"/>
  <c r="I222" i="1"/>
  <c r="H222" i="1"/>
  <c r="D223" i="1" l="1"/>
  <c r="E223" i="1" s="1"/>
  <c r="C223" i="1"/>
  <c r="A225" i="1"/>
  <c r="F224" i="1"/>
  <c r="B224" i="1"/>
  <c r="K223" i="1"/>
  <c r="J223" i="1"/>
  <c r="I223" i="1"/>
  <c r="G223" i="1"/>
  <c r="H223" i="1"/>
  <c r="L223" i="1"/>
  <c r="D224" i="1" l="1"/>
  <c r="E224" i="1" s="1"/>
  <c r="C224" i="1"/>
  <c r="L224" i="1"/>
  <c r="K224" i="1"/>
  <c r="J224" i="1"/>
  <c r="I224" i="1"/>
  <c r="H224" i="1"/>
  <c r="G224" i="1"/>
  <c r="F225" i="1"/>
  <c r="B225" i="1"/>
  <c r="A226" i="1"/>
  <c r="D225" i="1" l="1"/>
  <c r="E225" i="1" s="1"/>
  <c r="C225" i="1"/>
  <c r="B226" i="1"/>
  <c r="A227" i="1"/>
  <c r="F226" i="1"/>
  <c r="J225" i="1"/>
  <c r="I225" i="1"/>
  <c r="H225" i="1"/>
  <c r="G225" i="1"/>
  <c r="L225" i="1"/>
  <c r="K225" i="1"/>
  <c r="L226" i="1" l="1"/>
  <c r="K226" i="1"/>
  <c r="I226" i="1"/>
  <c r="J226" i="1"/>
  <c r="H226" i="1"/>
  <c r="G226" i="1"/>
  <c r="F227" i="1"/>
  <c r="B227" i="1"/>
  <c r="A228" i="1"/>
  <c r="D226" i="1"/>
  <c r="E226" i="1" s="1"/>
  <c r="C226" i="1"/>
  <c r="F228" i="1" l="1"/>
  <c r="A229" i="1"/>
  <c r="B228" i="1"/>
  <c r="H227" i="1"/>
  <c r="G227" i="1"/>
  <c r="L227" i="1"/>
  <c r="K227" i="1"/>
  <c r="J227" i="1"/>
  <c r="I227" i="1"/>
  <c r="D227" i="1"/>
  <c r="E227" i="1" s="1"/>
  <c r="C227" i="1"/>
  <c r="A230" i="1" l="1"/>
  <c r="F229" i="1"/>
  <c r="B229" i="1"/>
  <c r="D228" i="1"/>
  <c r="E228" i="1" s="1"/>
  <c r="C228" i="1"/>
  <c r="L228" i="1"/>
  <c r="K228" i="1"/>
  <c r="J228" i="1"/>
  <c r="H228" i="1"/>
  <c r="G228" i="1"/>
  <c r="I228" i="1"/>
  <c r="K229" i="1" l="1"/>
  <c r="J229" i="1"/>
  <c r="L229" i="1"/>
  <c r="I229" i="1"/>
  <c r="H229" i="1"/>
  <c r="G229" i="1"/>
  <c r="D229" i="1"/>
  <c r="E229" i="1" s="1"/>
  <c r="C229" i="1"/>
  <c r="B230" i="1"/>
  <c r="F230" i="1"/>
  <c r="A231" i="1"/>
  <c r="D230" i="1" l="1"/>
  <c r="E230" i="1" s="1"/>
  <c r="C230" i="1"/>
  <c r="F231" i="1"/>
  <c r="A232" i="1"/>
  <c r="B231" i="1"/>
  <c r="H230" i="1"/>
  <c r="G230" i="1"/>
  <c r="K230" i="1"/>
  <c r="L230" i="1"/>
  <c r="J230" i="1"/>
  <c r="I230" i="1"/>
  <c r="D231" i="1" l="1"/>
  <c r="E231" i="1" s="1"/>
  <c r="C231" i="1"/>
  <c r="F232" i="1"/>
  <c r="B232" i="1"/>
  <c r="A233" i="1"/>
  <c r="H231" i="1"/>
  <c r="G231" i="1"/>
  <c r="L231" i="1"/>
  <c r="K231" i="1"/>
  <c r="I231" i="1"/>
  <c r="J231" i="1"/>
  <c r="A234" i="1" l="1"/>
  <c r="F233" i="1"/>
  <c r="B233" i="1"/>
  <c r="D232" i="1"/>
  <c r="E232" i="1" s="1"/>
  <c r="C232" i="1"/>
  <c r="L232" i="1"/>
  <c r="K232" i="1"/>
  <c r="J232" i="1"/>
  <c r="H232" i="1"/>
  <c r="G232" i="1"/>
  <c r="I232" i="1"/>
  <c r="D233" i="1" l="1"/>
  <c r="E233" i="1" s="1"/>
  <c r="C233" i="1"/>
  <c r="H233" i="1"/>
  <c r="G233" i="1"/>
  <c r="L233" i="1"/>
  <c r="K233" i="1"/>
  <c r="J233" i="1"/>
  <c r="I233" i="1"/>
  <c r="B234" i="1"/>
  <c r="A235" i="1"/>
  <c r="F234" i="1"/>
  <c r="F235" i="1" l="1"/>
  <c r="B235" i="1"/>
  <c r="A236" i="1"/>
  <c r="L234" i="1"/>
  <c r="K234" i="1"/>
  <c r="J234" i="1"/>
  <c r="I234" i="1"/>
  <c r="H234" i="1"/>
  <c r="G234" i="1"/>
  <c r="D234" i="1"/>
  <c r="E234" i="1" s="1"/>
  <c r="C234" i="1"/>
  <c r="A237" i="1" l="1"/>
  <c r="F236" i="1"/>
  <c r="B236" i="1"/>
  <c r="D235" i="1"/>
  <c r="E235" i="1" s="1"/>
  <c r="C235" i="1"/>
  <c r="H235" i="1"/>
  <c r="G235" i="1"/>
  <c r="K235" i="1"/>
  <c r="J235" i="1"/>
  <c r="I235" i="1"/>
  <c r="L235" i="1"/>
  <c r="D236" i="1" l="1"/>
  <c r="E236" i="1" s="1"/>
  <c r="C236" i="1"/>
  <c r="L236" i="1"/>
  <c r="K236" i="1"/>
  <c r="J236" i="1"/>
  <c r="I236" i="1"/>
  <c r="H236" i="1"/>
  <c r="G236" i="1"/>
  <c r="A238" i="1"/>
  <c r="B237" i="1"/>
  <c r="F237" i="1"/>
  <c r="L237" i="1" l="1"/>
  <c r="K237" i="1"/>
  <c r="J237" i="1"/>
  <c r="I237" i="1"/>
  <c r="H237" i="1"/>
  <c r="G237" i="1"/>
  <c r="D237" i="1"/>
  <c r="E237" i="1" s="1"/>
  <c r="C237" i="1"/>
  <c r="B238" i="1"/>
  <c r="F238" i="1"/>
  <c r="A239" i="1"/>
  <c r="D238" i="1" l="1"/>
  <c r="E238" i="1" s="1"/>
  <c r="C238" i="1"/>
  <c r="F239" i="1"/>
  <c r="A240" i="1"/>
  <c r="B239" i="1"/>
  <c r="L238" i="1"/>
  <c r="K238" i="1"/>
  <c r="J238" i="1"/>
  <c r="I238" i="1"/>
  <c r="H238" i="1"/>
  <c r="G238" i="1"/>
  <c r="C239" i="1" l="1"/>
  <c r="D239" i="1"/>
  <c r="E239" i="1" s="1"/>
  <c r="F240" i="1"/>
  <c r="A241" i="1"/>
  <c r="B240" i="1"/>
  <c r="H239" i="1"/>
  <c r="G239" i="1"/>
  <c r="L239" i="1"/>
  <c r="K239" i="1"/>
  <c r="J239" i="1"/>
  <c r="I239" i="1"/>
  <c r="D240" i="1" l="1"/>
  <c r="E240" i="1" s="1"/>
  <c r="C240" i="1"/>
  <c r="A242" i="1"/>
  <c r="F241" i="1"/>
  <c r="B241" i="1"/>
  <c r="L240" i="1"/>
  <c r="K240" i="1"/>
  <c r="J240" i="1"/>
  <c r="I240" i="1"/>
  <c r="H240" i="1"/>
  <c r="G240" i="1"/>
  <c r="D241" i="1" l="1"/>
  <c r="E241" i="1" s="1"/>
  <c r="C241" i="1"/>
  <c r="L241" i="1"/>
  <c r="K241" i="1"/>
  <c r="H241" i="1"/>
  <c r="G241" i="1"/>
  <c r="J241" i="1"/>
  <c r="I241" i="1"/>
  <c r="B242" i="1"/>
  <c r="F242" i="1"/>
  <c r="A243" i="1"/>
  <c r="D242" i="1" l="1"/>
  <c r="E242" i="1" s="1"/>
  <c r="C242" i="1"/>
  <c r="F243" i="1"/>
  <c r="A244" i="1"/>
  <c r="B243" i="1"/>
  <c r="H242" i="1"/>
  <c r="G242" i="1"/>
  <c r="L242" i="1"/>
  <c r="K242" i="1"/>
  <c r="J242" i="1"/>
  <c r="I242" i="1"/>
  <c r="H243" i="1" l="1"/>
  <c r="G243" i="1"/>
  <c r="L243" i="1"/>
  <c r="K243" i="1"/>
  <c r="J243" i="1"/>
  <c r="I243" i="1"/>
  <c r="D243" i="1"/>
  <c r="E243" i="1" s="1"/>
  <c r="C243" i="1"/>
  <c r="B244" i="1"/>
  <c r="A245" i="1"/>
  <c r="F244" i="1"/>
  <c r="A246" i="1" l="1"/>
  <c r="F245" i="1"/>
  <c r="B245" i="1"/>
  <c r="L244" i="1"/>
  <c r="K244" i="1"/>
  <c r="J244" i="1"/>
  <c r="I244" i="1"/>
  <c r="H244" i="1"/>
  <c r="G244" i="1"/>
  <c r="D244" i="1"/>
  <c r="E244" i="1" s="1"/>
  <c r="C244" i="1"/>
  <c r="D245" i="1" l="1"/>
  <c r="E245" i="1" s="1"/>
  <c r="C245" i="1"/>
  <c r="L245" i="1"/>
  <c r="K245" i="1"/>
  <c r="J245" i="1"/>
  <c r="I245" i="1"/>
  <c r="H245" i="1"/>
  <c r="G245" i="1"/>
  <c r="B246" i="1"/>
  <c r="A247" i="1"/>
  <c r="F246" i="1"/>
  <c r="F247" i="1" l="1"/>
  <c r="A248" i="1"/>
  <c r="B247" i="1"/>
  <c r="L246" i="1"/>
  <c r="K246" i="1"/>
  <c r="J246" i="1"/>
  <c r="I246" i="1"/>
  <c r="H246" i="1"/>
  <c r="G246" i="1"/>
  <c r="D246" i="1"/>
  <c r="E246" i="1" s="1"/>
  <c r="C246" i="1"/>
  <c r="D247" i="1" l="1"/>
  <c r="E247" i="1" s="1"/>
  <c r="C247" i="1"/>
  <c r="B248" i="1"/>
  <c r="A249" i="1"/>
  <c r="F248" i="1"/>
  <c r="H247" i="1"/>
  <c r="G247" i="1"/>
  <c r="L247" i="1"/>
  <c r="K247" i="1"/>
  <c r="J247" i="1"/>
  <c r="I247" i="1"/>
  <c r="A250" i="1" l="1"/>
  <c r="F249" i="1"/>
  <c r="B249" i="1"/>
  <c r="L248" i="1"/>
  <c r="K248" i="1"/>
  <c r="J248" i="1"/>
  <c r="I248" i="1"/>
  <c r="H248" i="1"/>
  <c r="G248" i="1"/>
  <c r="C248" i="1"/>
  <c r="D248" i="1"/>
  <c r="E248" i="1" s="1"/>
  <c r="D249" i="1" l="1"/>
  <c r="E249" i="1" s="1"/>
  <c r="C249" i="1"/>
  <c r="H249" i="1"/>
  <c r="G249" i="1"/>
  <c r="L249" i="1"/>
  <c r="K249" i="1"/>
  <c r="J249" i="1"/>
  <c r="I249" i="1"/>
  <c r="B250" i="1"/>
  <c r="A251" i="1"/>
  <c r="F250" i="1"/>
  <c r="L250" i="1" l="1"/>
  <c r="K250" i="1"/>
  <c r="H250" i="1"/>
  <c r="J250" i="1"/>
  <c r="I250" i="1"/>
  <c r="G250" i="1"/>
  <c r="D250" i="1"/>
  <c r="E250" i="1" s="1"/>
  <c r="C250" i="1"/>
  <c r="F251" i="1"/>
  <c r="B251" i="1"/>
  <c r="A252" i="1"/>
  <c r="A253" i="1" l="1"/>
  <c r="F252" i="1"/>
  <c r="B252" i="1"/>
  <c r="D251" i="1"/>
  <c r="E251" i="1" s="1"/>
  <c r="C251" i="1"/>
  <c r="H251" i="1"/>
  <c r="G251" i="1"/>
  <c r="I251" i="1"/>
  <c r="J251" i="1"/>
  <c r="L251" i="1"/>
  <c r="K251" i="1"/>
  <c r="D252" i="1" l="1"/>
  <c r="E252" i="1" s="1"/>
  <c r="C252" i="1"/>
  <c r="L252" i="1"/>
  <c r="K252" i="1"/>
  <c r="J252" i="1"/>
  <c r="I252" i="1"/>
  <c r="H252" i="1"/>
  <c r="G252" i="1"/>
  <c r="A254" i="1"/>
  <c r="F253" i="1"/>
  <c r="B253" i="1"/>
  <c r="L253" i="1" l="1"/>
  <c r="K253" i="1"/>
  <c r="J253" i="1"/>
  <c r="I253" i="1"/>
  <c r="H253" i="1"/>
  <c r="G253" i="1"/>
  <c r="D253" i="1"/>
  <c r="E253" i="1" s="1"/>
  <c r="C253" i="1"/>
  <c r="B254" i="1"/>
  <c r="A255" i="1"/>
  <c r="F254" i="1"/>
  <c r="F255" i="1" l="1"/>
  <c r="B255" i="1"/>
  <c r="A256" i="1"/>
  <c r="K254" i="1"/>
  <c r="L254" i="1"/>
  <c r="J254" i="1"/>
  <c r="G254" i="1"/>
  <c r="I254" i="1"/>
  <c r="H254" i="1"/>
  <c r="D254" i="1"/>
  <c r="E254" i="1" s="1"/>
  <c r="C254" i="1"/>
  <c r="D255" i="1" l="1"/>
  <c r="E255" i="1" s="1"/>
  <c r="C255" i="1"/>
  <c r="F256" i="1"/>
  <c r="A257" i="1"/>
  <c r="B256" i="1"/>
  <c r="H255" i="1"/>
  <c r="G255" i="1"/>
  <c r="I255" i="1"/>
  <c r="L255" i="1"/>
  <c r="K255" i="1"/>
  <c r="J255" i="1"/>
  <c r="L256" i="1" l="1"/>
  <c r="K256" i="1"/>
  <c r="J256" i="1"/>
  <c r="I256" i="1"/>
  <c r="H256" i="1"/>
  <c r="G256" i="1"/>
  <c r="C256" i="1"/>
  <c r="D256" i="1"/>
  <c r="E256" i="1" s="1"/>
  <c r="A258" i="1"/>
  <c r="F257" i="1"/>
  <c r="B257" i="1"/>
  <c r="L257" i="1" l="1"/>
  <c r="G257" i="1"/>
  <c r="H257" i="1"/>
  <c r="K257" i="1"/>
  <c r="J257" i="1"/>
  <c r="I257" i="1"/>
  <c r="D257" i="1"/>
  <c r="E257" i="1" s="1"/>
  <c r="C257" i="1"/>
  <c r="B258" i="1"/>
  <c r="A259" i="1"/>
  <c r="F258" i="1"/>
  <c r="K258" i="1" l="1"/>
  <c r="I258" i="1"/>
  <c r="H258" i="1"/>
  <c r="L258" i="1"/>
  <c r="J258" i="1"/>
  <c r="G258" i="1"/>
  <c r="F259" i="1"/>
  <c r="B259" i="1"/>
  <c r="A260" i="1"/>
  <c r="D258" i="1"/>
  <c r="E258" i="1" s="1"/>
  <c r="C258" i="1"/>
  <c r="A261" i="1" l="1"/>
  <c r="F260" i="1"/>
  <c r="B260" i="1"/>
  <c r="H259" i="1"/>
  <c r="G259" i="1"/>
  <c r="K259" i="1"/>
  <c r="J259" i="1"/>
  <c r="I259" i="1"/>
  <c r="L259" i="1"/>
  <c r="D259" i="1"/>
  <c r="E259" i="1" s="1"/>
  <c r="C259" i="1"/>
  <c r="L260" i="1" l="1"/>
  <c r="K260" i="1"/>
  <c r="J260" i="1"/>
  <c r="I260" i="1"/>
  <c r="H260" i="1"/>
  <c r="G260" i="1"/>
  <c r="C260" i="1"/>
  <c r="D260" i="1"/>
  <c r="E260" i="1" s="1"/>
  <c r="A262" i="1"/>
  <c r="F261" i="1"/>
  <c r="B261" i="1"/>
  <c r="B262" i="1" l="1"/>
  <c r="A263" i="1"/>
  <c r="F262" i="1"/>
  <c r="D261" i="1"/>
  <c r="E261" i="1" s="1"/>
  <c r="C261" i="1"/>
  <c r="L261" i="1"/>
  <c r="G261" i="1"/>
  <c r="J261" i="1"/>
  <c r="I261" i="1"/>
  <c r="H261" i="1"/>
  <c r="K261" i="1"/>
  <c r="K262" i="1" l="1"/>
  <c r="L262" i="1"/>
  <c r="J262" i="1"/>
  <c r="I262" i="1"/>
  <c r="H262" i="1"/>
  <c r="G262" i="1"/>
  <c r="F263" i="1"/>
  <c r="A264" i="1"/>
  <c r="B263" i="1"/>
  <c r="D262" i="1"/>
  <c r="E262" i="1" s="1"/>
  <c r="C262" i="1"/>
  <c r="A265" i="1" l="1"/>
  <c r="F264" i="1"/>
  <c r="B264" i="1"/>
  <c r="D263" i="1"/>
  <c r="E263" i="1" s="1"/>
  <c r="C263" i="1"/>
  <c r="H263" i="1"/>
  <c r="G263" i="1"/>
  <c r="L263" i="1"/>
  <c r="K263" i="1"/>
  <c r="J263" i="1"/>
  <c r="I263" i="1"/>
  <c r="L264" i="1" l="1"/>
  <c r="K264" i="1"/>
  <c r="J264" i="1"/>
  <c r="I264" i="1"/>
  <c r="H264" i="1"/>
  <c r="G264" i="1"/>
  <c r="C264" i="1"/>
  <c r="D264" i="1"/>
  <c r="E264" i="1" s="1"/>
  <c r="A266" i="1"/>
  <c r="F265" i="1"/>
  <c r="B265" i="1"/>
  <c r="L265" i="1" l="1"/>
  <c r="G265" i="1"/>
  <c r="K265" i="1"/>
  <c r="J265" i="1"/>
  <c r="I265" i="1"/>
  <c r="H265" i="1"/>
  <c r="B266" i="1"/>
  <c r="A267" i="1"/>
  <c r="F266" i="1"/>
  <c r="C265" i="1"/>
  <c r="D265" i="1"/>
  <c r="E265" i="1" s="1"/>
  <c r="K266" i="1" l="1"/>
  <c r="L266" i="1"/>
  <c r="J266" i="1"/>
  <c r="I266" i="1"/>
  <c r="H266" i="1"/>
  <c r="G266" i="1"/>
  <c r="D266" i="1"/>
  <c r="E266" i="1" s="1"/>
  <c r="C266" i="1"/>
  <c r="F267" i="1"/>
  <c r="A268" i="1"/>
  <c r="B267" i="1"/>
  <c r="B268" i="1" l="1"/>
  <c r="A269" i="1"/>
  <c r="F268" i="1"/>
  <c r="D267" i="1"/>
  <c r="E267" i="1" s="1"/>
  <c r="C267" i="1"/>
  <c r="H267" i="1"/>
  <c r="G267" i="1"/>
  <c r="L267" i="1"/>
  <c r="K267" i="1"/>
  <c r="J267" i="1"/>
  <c r="I267" i="1"/>
  <c r="A270" i="1" l="1"/>
  <c r="F269" i="1"/>
  <c r="B269" i="1"/>
  <c r="L268" i="1"/>
  <c r="K268" i="1"/>
  <c r="J268" i="1"/>
  <c r="I268" i="1"/>
  <c r="H268" i="1"/>
  <c r="G268" i="1"/>
  <c r="C268" i="1"/>
  <c r="D268" i="1"/>
  <c r="E268" i="1" s="1"/>
  <c r="L269" i="1" l="1"/>
  <c r="G269" i="1"/>
  <c r="K269" i="1"/>
  <c r="J269" i="1"/>
  <c r="I269" i="1"/>
  <c r="H269" i="1"/>
  <c r="D269" i="1"/>
  <c r="E269" i="1" s="1"/>
  <c r="C269" i="1"/>
  <c r="B270" i="1"/>
  <c r="F270" i="1"/>
  <c r="A271" i="1"/>
  <c r="F271" i="1" l="1"/>
  <c r="A272" i="1"/>
  <c r="B271" i="1"/>
  <c r="K270" i="1"/>
  <c r="G270" i="1"/>
  <c r="L270" i="1"/>
  <c r="J270" i="1"/>
  <c r="I270" i="1"/>
  <c r="H270" i="1"/>
  <c r="D270" i="1"/>
  <c r="E270" i="1" s="1"/>
  <c r="C270" i="1"/>
  <c r="F272" i="1" l="1"/>
  <c r="B272" i="1"/>
  <c r="A273" i="1"/>
  <c r="D271" i="1"/>
  <c r="E271" i="1" s="1"/>
  <c r="C271" i="1"/>
  <c r="H271" i="1"/>
  <c r="G271" i="1"/>
  <c r="L271" i="1"/>
  <c r="I271" i="1"/>
  <c r="K271" i="1"/>
  <c r="J271" i="1"/>
  <c r="C272" i="1" l="1"/>
  <c r="D272" i="1"/>
  <c r="E272" i="1" s="1"/>
  <c r="A274" i="1"/>
  <c r="F273" i="1"/>
  <c r="B273" i="1"/>
  <c r="L272" i="1"/>
  <c r="K272" i="1"/>
  <c r="J272" i="1"/>
  <c r="I272" i="1"/>
  <c r="H272" i="1"/>
  <c r="G272" i="1"/>
  <c r="D273" i="1" l="1"/>
  <c r="E273" i="1" s="1"/>
  <c r="C273" i="1"/>
  <c r="B274" i="1"/>
  <c r="F274" i="1"/>
  <c r="A275" i="1"/>
  <c r="L273" i="1"/>
  <c r="G273" i="1"/>
  <c r="K273" i="1"/>
  <c r="H273" i="1"/>
  <c r="J273" i="1"/>
  <c r="I273" i="1"/>
  <c r="K274" i="1" l="1"/>
  <c r="I274" i="1"/>
  <c r="H274" i="1"/>
  <c r="G274" i="1"/>
  <c r="L274" i="1"/>
  <c r="J274" i="1"/>
  <c r="D274" i="1"/>
  <c r="E274" i="1" s="1"/>
  <c r="C274" i="1"/>
  <c r="F275" i="1"/>
  <c r="A276" i="1"/>
  <c r="B275" i="1"/>
  <c r="A277" i="1" l="1"/>
  <c r="F276" i="1"/>
  <c r="B276" i="1"/>
  <c r="D275" i="1"/>
  <c r="E275" i="1" s="1"/>
  <c r="C275" i="1"/>
  <c r="H275" i="1"/>
  <c r="G275" i="1"/>
  <c r="K275" i="1"/>
  <c r="J275" i="1"/>
  <c r="L275" i="1"/>
  <c r="I275" i="1"/>
  <c r="C276" i="1" l="1"/>
  <c r="D276" i="1"/>
  <c r="E276" i="1" s="1"/>
  <c r="L276" i="1"/>
  <c r="K276" i="1"/>
  <c r="J276" i="1"/>
  <c r="I276" i="1"/>
  <c r="H276" i="1"/>
  <c r="G276" i="1"/>
  <c r="A278" i="1"/>
  <c r="F277" i="1"/>
  <c r="B277" i="1"/>
  <c r="D277" i="1" l="1"/>
  <c r="E277" i="1" s="1"/>
  <c r="C277" i="1"/>
  <c r="B278" i="1"/>
  <c r="F278" i="1"/>
  <c r="A279" i="1"/>
  <c r="L277" i="1"/>
  <c r="G277" i="1"/>
  <c r="J277" i="1"/>
  <c r="I277" i="1"/>
  <c r="K277" i="1"/>
  <c r="H277" i="1"/>
  <c r="F279" i="1" l="1"/>
  <c r="A280" i="1"/>
  <c r="B279" i="1"/>
  <c r="K278" i="1"/>
  <c r="L278" i="1"/>
  <c r="J278" i="1"/>
  <c r="I278" i="1"/>
  <c r="H278" i="1"/>
  <c r="G278" i="1"/>
  <c r="D278" i="1"/>
  <c r="E278" i="1" s="1"/>
  <c r="C278" i="1"/>
  <c r="D279" i="1" l="1"/>
  <c r="E279" i="1" s="1"/>
  <c r="C279" i="1"/>
  <c r="A281" i="1"/>
  <c r="F280" i="1"/>
  <c r="B280" i="1"/>
  <c r="H279" i="1"/>
  <c r="G279" i="1"/>
  <c r="L279" i="1"/>
  <c r="K279" i="1"/>
  <c r="J279" i="1"/>
  <c r="I279" i="1"/>
  <c r="C280" i="1" l="1"/>
  <c r="D280" i="1"/>
  <c r="E280" i="1" s="1"/>
  <c r="L280" i="1"/>
  <c r="K280" i="1"/>
  <c r="J280" i="1"/>
  <c r="I280" i="1"/>
  <c r="H280" i="1"/>
  <c r="G280" i="1"/>
  <c r="A282" i="1"/>
  <c r="B281" i="1"/>
  <c r="F281" i="1"/>
  <c r="L281" i="1" l="1"/>
  <c r="G281" i="1"/>
  <c r="K281" i="1"/>
  <c r="J281" i="1"/>
  <c r="I281" i="1"/>
  <c r="H281" i="1"/>
  <c r="B282" i="1"/>
  <c r="A283" i="1"/>
  <c r="F282" i="1"/>
  <c r="C281" i="1"/>
  <c r="D281" i="1"/>
  <c r="E281" i="1" s="1"/>
  <c r="D282" i="1" l="1"/>
  <c r="E282" i="1" s="1"/>
  <c r="C282" i="1"/>
  <c r="K282" i="1"/>
  <c r="L282" i="1"/>
  <c r="J282" i="1"/>
  <c r="I282" i="1"/>
  <c r="H282" i="1"/>
  <c r="G282" i="1"/>
  <c r="F283" i="1"/>
  <c r="B283" i="1"/>
  <c r="A284" i="1"/>
  <c r="A285" i="1" l="1"/>
  <c r="B284" i="1"/>
  <c r="F284" i="1"/>
  <c r="D283" i="1"/>
  <c r="E283" i="1" s="1"/>
  <c r="C283" i="1"/>
  <c r="H283" i="1"/>
  <c r="G283" i="1"/>
  <c r="L283" i="1"/>
  <c r="K283" i="1"/>
  <c r="J283" i="1"/>
  <c r="I283" i="1"/>
  <c r="L284" i="1" l="1"/>
  <c r="K284" i="1"/>
  <c r="J284" i="1"/>
  <c r="I284" i="1"/>
  <c r="H284" i="1"/>
  <c r="G284" i="1"/>
  <c r="C284" i="1"/>
  <c r="D284" i="1"/>
  <c r="E284" i="1" s="1"/>
  <c r="A286" i="1"/>
  <c r="B285" i="1"/>
  <c r="F285" i="1"/>
  <c r="B286" i="1" l="1"/>
  <c r="A287" i="1"/>
  <c r="F286" i="1"/>
  <c r="D285" i="1"/>
  <c r="E285" i="1" s="1"/>
  <c r="C285" i="1"/>
  <c r="L285" i="1"/>
  <c r="G285" i="1"/>
  <c r="K285" i="1"/>
  <c r="J285" i="1"/>
  <c r="I285" i="1"/>
  <c r="H285" i="1"/>
  <c r="K286" i="1" l="1"/>
  <c r="L286" i="1"/>
  <c r="J286" i="1"/>
  <c r="I286" i="1"/>
  <c r="G286" i="1"/>
  <c r="H286" i="1"/>
  <c r="F287" i="1"/>
  <c r="B287" i="1"/>
  <c r="A288" i="1"/>
  <c r="D286" i="1"/>
  <c r="E286" i="1" s="1"/>
  <c r="C286" i="1"/>
  <c r="D287" i="1" l="1"/>
  <c r="E287" i="1" s="1"/>
  <c r="C287" i="1"/>
  <c r="A289" i="1"/>
  <c r="F288" i="1"/>
  <c r="B288" i="1"/>
  <c r="H287" i="1"/>
  <c r="G287" i="1"/>
  <c r="I287" i="1"/>
  <c r="L287" i="1"/>
  <c r="K287" i="1"/>
  <c r="J287" i="1"/>
  <c r="C288" i="1" l="1"/>
  <c r="D288" i="1"/>
  <c r="E288" i="1" s="1"/>
  <c r="L288" i="1"/>
  <c r="K288" i="1"/>
  <c r="J288" i="1"/>
  <c r="I288" i="1"/>
  <c r="H288" i="1"/>
  <c r="G288" i="1"/>
  <c r="A290" i="1"/>
  <c r="F289" i="1"/>
  <c r="B289" i="1"/>
  <c r="D289" i="1" l="1"/>
  <c r="E289" i="1" s="1"/>
  <c r="C289" i="1"/>
  <c r="B290" i="1"/>
  <c r="A291" i="1"/>
  <c r="F290" i="1"/>
  <c r="L289" i="1"/>
  <c r="G289" i="1"/>
  <c r="H289" i="1"/>
  <c r="K289" i="1"/>
  <c r="J289" i="1"/>
  <c r="I289" i="1"/>
  <c r="K290" i="1" l="1"/>
  <c r="L290" i="1"/>
  <c r="I290" i="1"/>
  <c r="H290" i="1"/>
  <c r="G290" i="1"/>
  <c r="J290" i="1"/>
  <c r="F291" i="1"/>
  <c r="B291" i="1"/>
  <c r="A292" i="1"/>
  <c r="D290" i="1"/>
  <c r="E290" i="1" s="1"/>
  <c r="C290" i="1"/>
  <c r="D291" i="1" l="1"/>
  <c r="E291" i="1" s="1"/>
  <c r="C291" i="1"/>
  <c r="A293" i="1"/>
  <c r="F292" i="1"/>
  <c r="B292" i="1"/>
  <c r="H291" i="1"/>
  <c r="G291" i="1"/>
  <c r="K291" i="1"/>
  <c r="J291" i="1"/>
  <c r="I291" i="1"/>
  <c r="L291" i="1"/>
  <c r="C292" i="1" l="1"/>
  <c r="D292" i="1"/>
  <c r="E292" i="1" s="1"/>
  <c r="L292" i="1"/>
  <c r="K292" i="1"/>
  <c r="J292" i="1"/>
  <c r="I292" i="1"/>
  <c r="H292" i="1"/>
  <c r="G292" i="1"/>
  <c r="A294" i="1"/>
  <c r="F293" i="1"/>
  <c r="B293" i="1"/>
  <c r="D293" i="1" l="1"/>
  <c r="E293" i="1" s="1"/>
  <c r="C293" i="1"/>
  <c r="L293" i="1"/>
  <c r="G293" i="1"/>
  <c r="J293" i="1"/>
  <c r="I293" i="1"/>
  <c r="H293" i="1"/>
  <c r="K293" i="1"/>
  <c r="B294" i="1"/>
  <c r="A295" i="1"/>
  <c r="F294" i="1"/>
  <c r="K294" i="1" l="1"/>
  <c r="L294" i="1"/>
  <c r="J294" i="1"/>
  <c r="I294" i="1"/>
  <c r="H294" i="1"/>
  <c r="G294" i="1"/>
  <c r="F295" i="1"/>
  <c r="A296" i="1"/>
  <c r="B295" i="1"/>
  <c r="D294" i="1"/>
  <c r="E294" i="1" s="1"/>
  <c r="C294" i="1"/>
  <c r="H295" i="1" l="1"/>
  <c r="G295" i="1"/>
  <c r="L295" i="1"/>
  <c r="K295" i="1"/>
  <c r="J295" i="1"/>
  <c r="I295" i="1"/>
  <c r="D295" i="1"/>
  <c r="E295" i="1" s="1"/>
  <c r="C295" i="1"/>
  <c r="A297" i="1"/>
  <c r="F296" i="1"/>
  <c r="B296" i="1"/>
  <c r="C296" i="1" l="1"/>
  <c r="D296" i="1"/>
  <c r="E296" i="1" s="1"/>
  <c r="A298" i="1"/>
  <c r="F297" i="1"/>
  <c r="B297" i="1"/>
  <c r="L296" i="1"/>
  <c r="K296" i="1"/>
  <c r="J296" i="1"/>
  <c r="I296" i="1"/>
  <c r="H296" i="1"/>
  <c r="G296" i="1"/>
  <c r="B298" i="1" l="1"/>
  <c r="A299" i="1"/>
  <c r="F298" i="1"/>
  <c r="C297" i="1"/>
  <c r="D297" i="1"/>
  <c r="E297" i="1" s="1"/>
  <c r="L297" i="1"/>
  <c r="G297" i="1"/>
  <c r="K297" i="1"/>
  <c r="J297" i="1"/>
  <c r="I297" i="1"/>
  <c r="H297" i="1"/>
  <c r="F299" i="1" l="1"/>
  <c r="A300" i="1"/>
  <c r="B299" i="1"/>
  <c r="K298" i="1"/>
  <c r="L298" i="1"/>
  <c r="I298" i="1"/>
  <c r="J298" i="1"/>
  <c r="H298" i="1"/>
  <c r="G298" i="1"/>
  <c r="D298" i="1"/>
  <c r="E298" i="1" s="1"/>
  <c r="C298" i="1"/>
  <c r="D299" i="1" l="1"/>
  <c r="E299" i="1" s="1"/>
  <c r="C299" i="1"/>
  <c r="B300" i="1"/>
  <c r="A301" i="1"/>
  <c r="F300" i="1"/>
  <c r="H299" i="1"/>
  <c r="G299" i="1"/>
  <c r="L299" i="1"/>
  <c r="K299" i="1"/>
  <c r="J299" i="1"/>
  <c r="I299" i="1"/>
  <c r="L300" i="1" l="1"/>
  <c r="K300" i="1"/>
  <c r="J300" i="1"/>
  <c r="I300" i="1"/>
  <c r="H300" i="1"/>
  <c r="G300" i="1"/>
  <c r="A302" i="1"/>
  <c r="F301" i="1"/>
  <c r="B301" i="1"/>
  <c r="C300" i="1"/>
  <c r="D300" i="1"/>
  <c r="E300" i="1" s="1"/>
  <c r="D301" i="1" l="1"/>
  <c r="E301" i="1" s="1"/>
  <c r="C301" i="1"/>
  <c r="L301" i="1"/>
  <c r="G301" i="1"/>
  <c r="K301" i="1"/>
  <c r="J301" i="1"/>
  <c r="I301" i="1"/>
  <c r="H301" i="1"/>
  <c r="B302" i="1"/>
  <c r="F302" i="1"/>
  <c r="A303" i="1"/>
  <c r="K302" i="1" l="1"/>
  <c r="H302" i="1"/>
  <c r="G302" i="1"/>
  <c r="J302" i="1"/>
  <c r="I302" i="1"/>
  <c r="L302" i="1"/>
  <c r="F303" i="1"/>
  <c r="A304" i="1"/>
  <c r="B303" i="1"/>
  <c r="D302" i="1"/>
  <c r="E302" i="1" s="1"/>
  <c r="C302" i="1"/>
  <c r="D303" i="1" l="1"/>
  <c r="E303" i="1" s="1"/>
  <c r="C303" i="1"/>
  <c r="A305" i="1"/>
  <c r="F304" i="1"/>
  <c r="B304" i="1"/>
  <c r="H303" i="1"/>
  <c r="G303" i="1"/>
  <c r="L303" i="1"/>
  <c r="K303" i="1"/>
  <c r="J303" i="1"/>
  <c r="I303" i="1"/>
  <c r="C304" i="1" l="1"/>
  <c r="D304" i="1"/>
  <c r="E304" i="1" s="1"/>
  <c r="L304" i="1"/>
  <c r="K304" i="1"/>
  <c r="J304" i="1"/>
  <c r="I304" i="1"/>
  <c r="H304" i="1"/>
  <c r="G304" i="1"/>
  <c r="A306" i="1"/>
  <c r="F305" i="1"/>
  <c r="B305" i="1"/>
  <c r="B306" i="1" l="1"/>
  <c r="A307" i="1"/>
  <c r="F306" i="1"/>
  <c r="L305" i="1"/>
  <c r="G305" i="1"/>
  <c r="K305" i="1"/>
  <c r="J305" i="1"/>
  <c r="I305" i="1"/>
  <c r="H305" i="1"/>
  <c r="D305" i="1"/>
  <c r="E305" i="1" s="1"/>
  <c r="C305" i="1"/>
  <c r="K306" i="1" l="1"/>
  <c r="H306" i="1"/>
  <c r="L306" i="1"/>
  <c r="J306" i="1"/>
  <c r="I306" i="1"/>
  <c r="G306" i="1"/>
  <c r="F307" i="1"/>
  <c r="B307" i="1"/>
  <c r="A308" i="1"/>
  <c r="D306" i="1"/>
  <c r="E306" i="1" s="1"/>
  <c r="C306" i="1"/>
  <c r="A309" i="1" l="1"/>
  <c r="F308" i="1"/>
  <c r="B308" i="1"/>
  <c r="D307" i="1"/>
  <c r="E307" i="1" s="1"/>
  <c r="C307" i="1"/>
  <c r="H307" i="1"/>
  <c r="G307" i="1"/>
  <c r="L307" i="1"/>
  <c r="K307" i="1"/>
  <c r="J307" i="1"/>
  <c r="I307" i="1"/>
  <c r="C308" i="1" l="1"/>
  <c r="D308" i="1"/>
  <c r="E308" i="1" s="1"/>
  <c r="L308" i="1"/>
  <c r="K308" i="1"/>
  <c r="J308" i="1"/>
  <c r="I308" i="1"/>
  <c r="H308" i="1"/>
  <c r="G308" i="1"/>
  <c r="A310" i="1"/>
  <c r="F309" i="1"/>
  <c r="B309" i="1"/>
  <c r="D309" i="1" l="1"/>
  <c r="E309" i="1" s="1"/>
  <c r="C309" i="1"/>
  <c r="B310" i="1"/>
  <c r="A311" i="1"/>
  <c r="F310" i="1"/>
  <c r="L309" i="1"/>
  <c r="G309" i="1"/>
  <c r="H309" i="1"/>
  <c r="K309" i="1"/>
  <c r="J309" i="1"/>
  <c r="I309" i="1"/>
  <c r="K310" i="1" l="1"/>
  <c r="H310" i="1"/>
  <c r="L310" i="1"/>
  <c r="J310" i="1"/>
  <c r="I310" i="1"/>
  <c r="G310" i="1"/>
  <c r="F311" i="1"/>
  <c r="A312" i="1"/>
  <c r="B311" i="1"/>
  <c r="D310" i="1"/>
  <c r="E310" i="1" s="1"/>
  <c r="C310" i="1"/>
  <c r="H311" i="1" l="1"/>
  <c r="G311" i="1"/>
  <c r="L311" i="1"/>
  <c r="K311" i="1"/>
  <c r="J311" i="1"/>
  <c r="I311" i="1"/>
  <c r="F312" i="1"/>
  <c r="B312" i="1"/>
  <c r="A313" i="1"/>
  <c r="D311" i="1"/>
  <c r="E311" i="1" s="1"/>
  <c r="C311" i="1"/>
  <c r="C312" i="1" l="1"/>
  <c r="D312" i="1"/>
  <c r="E312" i="1" s="1"/>
  <c r="A314" i="1"/>
  <c r="F313" i="1"/>
  <c r="B313" i="1"/>
  <c r="L312" i="1"/>
  <c r="K312" i="1"/>
  <c r="J312" i="1"/>
  <c r="I312" i="1"/>
  <c r="H312" i="1"/>
  <c r="G312" i="1"/>
  <c r="B314" i="1" l="1"/>
  <c r="F314" i="1"/>
  <c r="A315" i="1"/>
  <c r="D313" i="1"/>
  <c r="E313" i="1" s="1"/>
  <c r="C313" i="1"/>
  <c r="L313" i="1"/>
  <c r="K313" i="1"/>
  <c r="G313" i="1"/>
  <c r="J313" i="1"/>
  <c r="I313" i="1"/>
  <c r="H313" i="1"/>
  <c r="F315" i="1" l="1"/>
  <c r="A316" i="1"/>
  <c r="B315" i="1"/>
  <c r="K314" i="1"/>
  <c r="H314" i="1"/>
  <c r="I314" i="1"/>
  <c r="G314" i="1"/>
  <c r="L314" i="1"/>
  <c r="J314" i="1"/>
  <c r="D314" i="1"/>
  <c r="E314" i="1" s="1"/>
  <c r="C314" i="1"/>
  <c r="D315" i="1" l="1"/>
  <c r="E315" i="1" s="1"/>
  <c r="C315" i="1"/>
  <c r="A317" i="1"/>
  <c r="F316" i="1"/>
  <c r="B316" i="1"/>
  <c r="H315" i="1"/>
  <c r="G315" i="1"/>
  <c r="L315" i="1"/>
  <c r="K315" i="1"/>
  <c r="J315" i="1"/>
  <c r="I315" i="1"/>
  <c r="C316" i="1" l="1"/>
  <c r="D316" i="1"/>
  <c r="E316" i="1" s="1"/>
  <c r="L316" i="1"/>
  <c r="K316" i="1"/>
  <c r="J316" i="1"/>
  <c r="I316" i="1"/>
  <c r="H316" i="1"/>
  <c r="G316" i="1"/>
  <c r="A318" i="1"/>
  <c r="B317" i="1"/>
  <c r="F317" i="1"/>
  <c r="L317" i="1" l="1"/>
  <c r="K317" i="1"/>
  <c r="G317" i="1"/>
  <c r="J317" i="1"/>
  <c r="I317" i="1"/>
  <c r="H317" i="1"/>
  <c r="D317" i="1"/>
  <c r="E317" i="1" s="1"/>
  <c r="C317" i="1"/>
  <c r="B318" i="1"/>
  <c r="A319" i="1"/>
  <c r="F318" i="1"/>
  <c r="K318" i="1" l="1"/>
  <c r="H318" i="1"/>
  <c r="L318" i="1"/>
  <c r="J318" i="1"/>
  <c r="I318" i="1"/>
  <c r="G318" i="1"/>
  <c r="F319" i="1"/>
  <c r="A320" i="1"/>
  <c r="B319" i="1"/>
  <c r="D318" i="1"/>
  <c r="E318" i="1" s="1"/>
  <c r="C318" i="1"/>
  <c r="F320" i="1" l="1"/>
  <c r="A321" i="1"/>
  <c r="B320" i="1"/>
  <c r="D319" i="1"/>
  <c r="E319" i="1" s="1"/>
  <c r="C319" i="1"/>
  <c r="H319" i="1"/>
  <c r="G319" i="1"/>
  <c r="L319" i="1"/>
  <c r="K319" i="1"/>
  <c r="J319" i="1"/>
  <c r="I319" i="1"/>
  <c r="A322" i="1" l="1"/>
  <c r="F321" i="1"/>
  <c r="B321" i="1"/>
  <c r="C320" i="1"/>
  <c r="D320" i="1"/>
  <c r="E320" i="1" s="1"/>
  <c r="L320" i="1"/>
  <c r="K320" i="1"/>
  <c r="J320" i="1"/>
  <c r="I320" i="1"/>
  <c r="H320" i="1"/>
  <c r="G320" i="1"/>
  <c r="L321" i="1" l="1"/>
  <c r="K321" i="1"/>
  <c r="G321" i="1"/>
  <c r="J321" i="1"/>
  <c r="I321" i="1"/>
  <c r="H321" i="1"/>
  <c r="D321" i="1"/>
  <c r="E321" i="1" s="1"/>
  <c r="C321" i="1"/>
  <c r="B322" i="1"/>
  <c r="F322" i="1"/>
  <c r="A323" i="1"/>
  <c r="F323" i="1" l="1"/>
  <c r="A324" i="1"/>
  <c r="B323" i="1"/>
  <c r="D322" i="1"/>
  <c r="E322" i="1" s="1"/>
  <c r="C322" i="1"/>
  <c r="K322" i="1"/>
  <c r="H322" i="1"/>
  <c r="I322" i="1"/>
  <c r="G322" i="1"/>
  <c r="L322" i="1"/>
  <c r="J322" i="1"/>
  <c r="A325" i="1" l="1"/>
  <c r="F324" i="1"/>
  <c r="B324" i="1"/>
  <c r="D323" i="1"/>
  <c r="E323" i="1" s="1"/>
  <c r="C323" i="1"/>
  <c r="H323" i="1"/>
  <c r="G323" i="1"/>
  <c r="L323" i="1"/>
  <c r="K323" i="1"/>
  <c r="J323" i="1"/>
  <c r="I323" i="1"/>
  <c r="L324" i="1" l="1"/>
  <c r="K324" i="1"/>
  <c r="J324" i="1"/>
  <c r="I324" i="1"/>
  <c r="H324" i="1"/>
  <c r="G324" i="1"/>
  <c r="C324" i="1"/>
  <c r="D324" i="1"/>
  <c r="E324" i="1" s="1"/>
  <c r="A326" i="1"/>
  <c r="B325" i="1"/>
  <c r="F325" i="1"/>
  <c r="L325" i="1" l="1"/>
  <c r="K325" i="1"/>
  <c r="G325" i="1"/>
  <c r="J325" i="1"/>
  <c r="I325" i="1"/>
  <c r="H325" i="1"/>
  <c r="B326" i="1"/>
  <c r="A327" i="1"/>
  <c r="F326" i="1"/>
  <c r="D325" i="1"/>
  <c r="E325" i="1" s="1"/>
  <c r="C325" i="1"/>
  <c r="D326" i="1" l="1"/>
  <c r="E326" i="1" s="1"/>
  <c r="C326" i="1"/>
  <c r="K326" i="1"/>
  <c r="H326" i="1"/>
  <c r="L326" i="1"/>
  <c r="J326" i="1"/>
  <c r="I326" i="1"/>
  <c r="G326" i="1"/>
  <c r="F327" i="1"/>
  <c r="A328" i="1"/>
  <c r="B327" i="1"/>
  <c r="D327" i="1" l="1"/>
  <c r="E327" i="1" s="1"/>
  <c r="C327" i="1"/>
  <c r="H327" i="1"/>
  <c r="G327" i="1"/>
  <c r="L327" i="1"/>
  <c r="K327" i="1"/>
  <c r="J327" i="1"/>
  <c r="I327" i="1"/>
  <c r="F328" i="1"/>
  <c r="A329" i="1"/>
  <c r="B328" i="1"/>
  <c r="A330" i="1" l="1"/>
  <c r="F329" i="1"/>
  <c r="B329" i="1"/>
  <c r="C328" i="1"/>
  <c r="D328" i="1"/>
  <c r="E328" i="1" s="1"/>
  <c r="L328" i="1"/>
  <c r="K328" i="1"/>
  <c r="J328" i="1"/>
  <c r="I328" i="1"/>
  <c r="H328" i="1"/>
  <c r="G328" i="1"/>
  <c r="D329" i="1" l="1"/>
  <c r="E329" i="1" s="1"/>
  <c r="C329" i="1"/>
  <c r="L329" i="1"/>
  <c r="K329" i="1"/>
  <c r="G329" i="1"/>
  <c r="J329" i="1"/>
  <c r="I329" i="1"/>
  <c r="H329" i="1"/>
  <c r="B330" i="1"/>
  <c r="F330" i="1"/>
  <c r="A331" i="1"/>
  <c r="F331" i="1" l="1"/>
  <c r="A332" i="1"/>
  <c r="B331" i="1"/>
  <c r="K330" i="1"/>
  <c r="H330" i="1"/>
  <c r="I330" i="1"/>
  <c r="G330" i="1"/>
  <c r="L330" i="1"/>
  <c r="J330" i="1"/>
  <c r="D330" i="1"/>
  <c r="E330" i="1" s="1"/>
  <c r="C330" i="1"/>
  <c r="A333" i="1" l="1"/>
  <c r="F332" i="1"/>
  <c r="B332" i="1"/>
  <c r="D331" i="1"/>
  <c r="E331" i="1" s="1"/>
  <c r="C331" i="1"/>
  <c r="H331" i="1"/>
  <c r="G331" i="1"/>
  <c r="L331" i="1"/>
  <c r="K331" i="1"/>
  <c r="J331" i="1"/>
  <c r="I331" i="1"/>
  <c r="L332" i="1" l="1"/>
  <c r="K332" i="1"/>
  <c r="J332" i="1"/>
  <c r="I332" i="1"/>
  <c r="H332" i="1"/>
  <c r="G332" i="1"/>
  <c r="C332" i="1"/>
  <c r="D332" i="1"/>
  <c r="E332" i="1" s="1"/>
  <c r="A334" i="1"/>
  <c r="B333" i="1"/>
  <c r="F333" i="1"/>
  <c r="D333" i="1" l="1"/>
  <c r="E333" i="1" s="1"/>
  <c r="C333" i="1"/>
  <c r="L333" i="1"/>
  <c r="K333" i="1"/>
  <c r="G333" i="1"/>
  <c r="J333" i="1"/>
  <c r="I333" i="1"/>
  <c r="H333" i="1"/>
  <c r="B334" i="1"/>
  <c r="A335" i="1"/>
  <c r="F334" i="1"/>
  <c r="K334" i="1" l="1"/>
  <c r="H334" i="1"/>
  <c r="L334" i="1"/>
  <c r="J334" i="1"/>
  <c r="I334" i="1"/>
  <c r="G334" i="1"/>
  <c r="D334" i="1"/>
  <c r="E334" i="1" s="1"/>
  <c r="C334" i="1"/>
  <c r="F335" i="1"/>
  <c r="A336" i="1"/>
  <c r="B335" i="1"/>
  <c r="H335" i="1" l="1"/>
  <c r="G335" i="1"/>
  <c r="L335" i="1"/>
  <c r="J335" i="1"/>
  <c r="K335" i="1"/>
  <c r="I335" i="1"/>
  <c r="F336" i="1"/>
  <c r="B336" i="1"/>
  <c r="D335" i="1"/>
  <c r="E335" i="1" s="1"/>
  <c r="C335" i="1"/>
  <c r="D336" i="1" l="1"/>
  <c r="E336" i="1" s="1"/>
  <c r="C336" i="1"/>
  <c r="L336" i="1"/>
  <c r="K336" i="1"/>
  <c r="J336" i="1"/>
  <c r="I336" i="1"/>
  <c r="H336" i="1"/>
  <c r="G336" i="1"/>
</calcChain>
</file>

<file path=xl/sharedStrings.xml><?xml version="1.0" encoding="utf-8"?>
<sst xmlns="http://schemas.openxmlformats.org/spreadsheetml/2006/main" count="77" uniqueCount="59">
  <si>
    <t>Magnetic Loop – Simple 3 dB Bandwidth Model (1-turn copper; ideal capacitor; optional joint resistance)</t>
  </si>
  <si>
    <t>Inputs (edit blue cells)</t>
  </si>
  <si>
    <t>Constants</t>
  </si>
  <si>
    <t>Loop diameter, D</t>
  </si>
  <si>
    <t>m</t>
  </si>
  <si>
    <t>c (speed of light)</t>
  </si>
  <si>
    <t>m/s</t>
  </si>
  <si>
    <t>Conductor diameter, d</t>
  </si>
  <si>
    <t>mm</t>
  </si>
  <si>
    <t>μ0 (permeability)</t>
  </si>
  <si>
    <t>H/m</t>
  </si>
  <si>
    <t>Extra series resistance (joints), R_joint</t>
  </si>
  <si>
    <t>mΩ</t>
  </si>
  <si>
    <t>ρ (copper resistivity @20°C)</t>
  </si>
  <si>
    <t>Ω·m</t>
  </si>
  <si>
    <t>Frequency (single calc), f</t>
  </si>
  <si>
    <t>MHz</t>
  </si>
  <si>
    <t>Table: f_start</t>
  </si>
  <si>
    <t>Table: f_stop</t>
  </si>
  <si>
    <t>Table: f_step</t>
  </si>
  <si>
    <t>Table rows (max)</t>
  </si>
  <si>
    <t>rows</t>
  </si>
  <si>
    <t>Derived (SI units &amp; geometry)</t>
  </si>
  <si>
    <t>d_m</t>
  </si>
  <si>
    <t>R = D/2</t>
  </si>
  <si>
    <t>a = d_m/2</t>
  </si>
  <si>
    <t>ℓ = 2πR</t>
  </si>
  <si>
    <t>Area A = πR²</t>
  </si>
  <si>
    <t>m²</t>
  </si>
  <si>
    <t>L ≈ μ0·R·(ln(8R/a) − 2)</t>
  </si>
  <si>
    <t>H</t>
  </si>
  <si>
    <t>R_joint_Ω</t>
  </si>
  <si>
    <t>Ω</t>
  </si>
  <si>
    <t>Single-frequency results (uses f in B6)</t>
  </si>
  <si>
    <t>f_Hz</t>
  </si>
  <si>
    <t>Hz</t>
  </si>
  <si>
    <t>λ = c / f</t>
  </si>
  <si>
    <t>δ = √(ρ/(π f μ0))</t>
  </si>
  <si>
    <t>R_ac ≈ ℓ·ρ/(π·d_m·δ)</t>
  </si>
  <si>
    <t>R_rad ≈ 31200·(A/λ²)²</t>
  </si>
  <si>
    <t>R_s = R_ac + R_rad + R_joint</t>
  </si>
  <si>
    <t>Q ≈ (2π f L)/R_s</t>
  </si>
  <si>
    <t>BW_3dB ≈ f/Q</t>
  </si>
  <si>
    <t>BW_3dB (kHz)</t>
  </si>
  <si>
    <t>kHz</t>
  </si>
  <si>
    <t>BW_SWR2 ≈ BW_3dB·√(0.5) (VSWR=2 approx)</t>
  </si>
  <si>
    <t>BW_SWR2 (kHz)</t>
  </si>
  <si>
    <t>η ≈ R_rad / R_s (idealized)</t>
  </si>
  <si>
    <t>Frequency table (for plotting)</t>
  </si>
  <si>
    <t>f (MHz)</t>
  </si>
  <si>
    <t>BW_3dB (Hz)</t>
  </si>
  <si>
    <t>BW_SWR2 (Hz)</t>
  </si>
  <si>
    <t>λ (m)</t>
  </si>
  <si>
    <t>δ (m)</t>
  </si>
  <si>
    <t>R_ac (Ω)</t>
  </si>
  <si>
    <t>R_rad (Ω)</t>
  </si>
  <si>
    <t>R_s (Ω)</t>
  </si>
  <si>
    <t>Q</t>
  </si>
  <si>
    <t>Notes: SWR=2 bandwidth uses a simple series-RLC approximation: BW_SWR2 ≈ 0.707·BW_3dB. Real SWR bandwidth depends on coupling/matching.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</si>
</sst>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##########E+00"/>
    <numFmt numFmtId="165" formatCode="0.000000E+00"/>
    <numFmt numFmtId="166" formatCode="0.0"/>
    <numFmt numFmtId="167" formatCode="0.0%"/>
  </numFmts>
  <fonts count="5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i/>
      <sz val="11"/>
      <color rgb="FF55555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7E6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" fontId="0" fillId="0" borderId="0" xfId="0" applyNumberFormat="1"/>
    <xf numFmtId="0" fontId="2" fillId="2" borderId="0" xfId="0" applyFont="1" applyFill="1"/>
    <xf numFmtId="0" fontId="0" fillId="0" borderId="0" xfId="0"/>
    <xf numFmtId="0" fontId="2" fillId="2" borderId="1" xfId="0" applyFont="1" applyFill="1" applyBorder="1" applyAlignment="1">
      <alignment vertic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Loop_BW!$P$36</c:f>
              <c:strCache>
                <c:ptCount val="1"/>
                <c:pt idx="0">
                  <c:v>BW_3dB (Hz)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</c:trendlineLbl>
          </c:trendline>
          <c:xVal>
            <c:numRef>
              <c:f>Loop_BW!$O$37:$O$127</c:f>
              <c:numCache>
                <c:formatCode>General</c:formatCode>
                <c:ptCount val="91"/>
                <c:pt idx="0">
                  <c:v>7</c:v>
                </c:pt>
                <c:pt idx="1">
                  <c:v>7.25</c:v>
                </c:pt>
                <c:pt idx="2">
                  <c:v>7.5</c:v>
                </c:pt>
                <c:pt idx="3">
                  <c:v>7.75</c:v>
                </c:pt>
                <c:pt idx="4">
                  <c:v>8</c:v>
                </c:pt>
                <c:pt idx="5">
                  <c:v>8.25</c:v>
                </c:pt>
                <c:pt idx="6">
                  <c:v>8.5</c:v>
                </c:pt>
                <c:pt idx="7">
                  <c:v>8.75</c:v>
                </c:pt>
                <c:pt idx="8">
                  <c:v>9</c:v>
                </c:pt>
                <c:pt idx="9">
                  <c:v>9.25</c:v>
                </c:pt>
                <c:pt idx="10">
                  <c:v>9.5</c:v>
                </c:pt>
                <c:pt idx="11">
                  <c:v>9.75</c:v>
                </c:pt>
                <c:pt idx="12">
                  <c:v>10</c:v>
                </c:pt>
                <c:pt idx="13">
                  <c:v>10.25</c:v>
                </c:pt>
                <c:pt idx="14">
                  <c:v>10.5</c:v>
                </c:pt>
                <c:pt idx="15">
                  <c:v>10.75</c:v>
                </c:pt>
                <c:pt idx="16">
                  <c:v>11</c:v>
                </c:pt>
                <c:pt idx="17">
                  <c:v>11.25</c:v>
                </c:pt>
                <c:pt idx="18">
                  <c:v>11.5</c:v>
                </c:pt>
                <c:pt idx="19">
                  <c:v>11.75</c:v>
                </c:pt>
                <c:pt idx="20">
                  <c:v>12</c:v>
                </c:pt>
                <c:pt idx="21">
                  <c:v>12.25</c:v>
                </c:pt>
                <c:pt idx="22">
                  <c:v>12.5</c:v>
                </c:pt>
                <c:pt idx="23">
                  <c:v>12.75</c:v>
                </c:pt>
                <c:pt idx="24">
                  <c:v>13</c:v>
                </c:pt>
                <c:pt idx="25">
                  <c:v>13.25</c:v>
                </c:pt>
                <c:pt idx="26">
                  <c:v>13.5</c:v>
                </c:pt>
                <c:pt idx="27">
                  <c:v>13.75</c:v>
                </c:pt>
                <c:pt idx="28">
                  <c:v>14</c:v>
                </c:pt>
                <c:pt idx="29">
                  <c:v>14.25</c:v>
                </c:pt>
                <c:pt idx="30">
                  <c:v>14.5</c:v>
                </c:pt>
                <c:pt idx="31">
                  <c:v>14.75</c:v>
                </c:pt>
                <c:pt idx="32">
                  <c:v>15</c:v>
                </c:pt>
                <c:pt idx="33">
                  <c:v>15.25</c:v>
                </c:pt>
                <c:pt idx="34">
                  <c:v>15.5</c:v>
                </c:pt>
                <c:pt idx="35">
                  <c:v>15.75</c:v>
                </c:pt>
                <c:pt idx="36">
                  <c:v>16</c:v>
                </c:pt>
                <c:pt idx="37">
                  <c:v>16.25</c:v>
                </c:pt>
                <c:pt idx="38">
                  <c:v>16.5</c:v>
                </c:pt>
                <c:pt idx="39">
                  <c:v>16.75</c:v>
                </c:pt>
                <c:pt idx="40">
                  <c:v>17</c:v>
                </c:pt>
                <c:pt idx="41">
                  <c:v>17.25</c:v>
                </c:pt>
                <c:pt idx="42">
                  <c:v>17.5</c:v>
                </c:pt>
                <c:pt idx="43">
                  <c:v>17.75</c:v>
                </c:pt>
                <c:pt idx="44">
                  <c:v>18</c:v>
                </c:pt>
                <c:pt idx="45">
                  <c:v>18.25</c:v>
                </c:pt>
                <c:pt idx="46">
                  <c:v>18.5</c:v>
                </c:pt>
                <c:pt idx="47">
                  <c:v>18.75</c:v>
                </c:pt>
                <c:pt idx="48">
                  <c:v>19</c:v>
                </c:pt>
                <c:pt idx="49">
                  <c:v>19.25</c:v>
                </c:pt>
                <c:pt idx="50">
                  <c:v>19.5</c:v>
                </c:pt>
                <c:pt idx="51">
                  <c:v>19.75</c:v>
                </c:pt>
                <c:pt idx="52">
                  <c:v>20</c:v>
                </c:pt>
                <c:pt idx="53">
                  <c:v>20.25</c:v>
                </c:pt>
                <c:pt idx="54">
                  <c:v>20.5</c:v>
                </c:pt>
                <c:pt idx="55">
                  <c:v>20.75</c:v>
                </c:pt>
                <c:pt idx="56">
                  <c:v>21</c:v>
                </c:pt>
                <c:pt idx="57">
                  <c:v>21.25</c:v>
                </c:pt>
                <c:pt idx="58">
                  <c:v>21.5</c:v>
                </c:pt>
                <c:pt idx="59">
                  <c:v>21.75</c:v>
                </c:pt>
                <c:pt idx="60">
                  <c:v>22</c:v>
                </c:pt>
                <c:pt idx="61">
                  <c:v>22.25</c:v>
                </c:pt>
                <c:pt idx="62">
                  <c:v>22.5</c:v>
                </c:pt>
                <c:pt idx="63">
                  <c:v>22.75</c:v>
                </c:pt>
                <c:pt idx="64">
                  <c:v>23</c:v>
                </c:pt>
                <c:pt idx="65">
                  <c:v>23.25</c:v>
                </c:pt>
                <c:pt idx="66">
                  <c:v>23.5</c:v>
                </c:pt>
                <c:pt idx="67">
                  <c:v>23.75</c:v>
                </c:pt>
                <c:pt idx="68">
                  <c:v>24</c:v>
                </c:pt>
                <c:pt idx="69">
                  <c:v>24.25</c:v>
                </c:pt>
                <c:pt idx="70">
                  <c:v>24.5</c:v>
                </c:pt>
                <c:pt idx="71">
                  <c:v>24.75</c:v>
                </c:pt>
                <c:pt idx="72">
                  <c:v>25</c:v>
                </c:pt>
                <c:pt idx="73">
                  <c:v>25.25</c:v>
                </c:pt>
                <c:pt idx="74">
                  <c:v>25.5</c:v>
                </c:pt>
                <c:pt idx="75">
                  <c:v>25.75</c:v>
                </c:pt>
                <c:pt idx="76">
                  <c:v>26</c:v>
                </c:pt>
                <c:pt idx="77">
                  <c:v>26.25</c:v>
                </c:pt>
                <c:pt idx="78">
                  <c:v>26.5</c:v>
                </c:pt>
                <c:pt idx="79">
                  <c:v>26.75</c:v>
                </c:pt>
                <c:pt idx="80">
                  <c:v>27</c:v>
                </c:pt>
                <c:pt idx="81">
                  <c:v>27.25</c:v>
                </c:pt>
                <c:pt idx="82">
                  <c:v>27.5</c:v>
                </c:pt>
                <c:pt idx="83">
                  <c:v>27.75</c:v>
                </c:pt>
                <c:pt idx="84">
                  <c:v>28</c:v>
                </c:pt>
                <c:pt idx="85">
                  <c:v>28.25</c:v>
                </c:pt>
                <c:pt idx="86">
                  <c:v>28.5</c:v>
                </c:pt>
                <c:pt idx="87">
                  <c:v>28.75</c:v>
                </c:pt>
                <c:pt idx="88">
                  <c:v>29</c:v>
                </c:pt>
                <c:pt idx="89">
                  <c:v>29.25</c:v>
                </c:pt>
                <c:pt idx="90">
                  <c:v>29.5</c:v>
                </c:pt>
              </c:numCache>
            </c:numRef>
          </c:xVal>
          <c:yVal>
            <c:numRef>
              <c:f>Loop_BW!$P$37:$P$127</c:f>
              <c:numCache>
                <c:formatCode>General</c:formatCode>
                <c:ptCount val="91"/>
                <c:pt idx="0" formatCode="0">
                  <c:v>2411.6779403589903</c:v>
                </c:pt>
                <c:pt idx="1">
                  <c:v>2503.8285876906034</c:v>
                </c:pt>
                <c:pt idx="2">
                  <c:v>2601.4696416457568</c:v>
                </c:pt>
                <c:pt idx="3">
                  <c:v>2705.0601229344006</c:v>
                </c:pt>
                <c:pt idx="4">
                  <c:v>2815.0711234403984</c:v>
                </c:pt>
                <c:pt idx="5">
                  <c:v>2931.9860723569236</c:v>
                </c:pt>
                <c:pt idx="6">
                  <c:v>3056.3009662794375</c:v>
                </c:pt>
                <c:pt idx="7">
                  <c:v>3188.5245690484462</c:v>
                </c:pt>
                <c:pt idx="8">
                  <c:v>3329.1785860653004</c:v>
                </c:pt>
                <c:pt idx="9">
                  <c:v>3478.7978169566832</c:v>
                </c:pt>
                <c:pt idx="10">
                  <c:v>3637.9302897866705</c:v>
                </c:pt>
                <c:pt idx="11">
                  <c:v>3807.1373794712208</c:v>
                </c:pt>
                <c:pt idx="12">
                  <c:v>3986.9939126100471</c:v>
                </c:pt>
                <c:pt idx="13">
                  <c:v>4178.0882605928782</c:v>
                </c:pt>
                <c:pt idx="14">
                  <c:v>4381.0224225443135</c:v>
                </c:pt>
                <c:pt idx="15">
                  <c:v>4596.4120994307295</c:v>
                </c:pt>
                <c:pt idx="16">
                  <c:v>4824.8867604536317</c:v>
                </c:pt>
                <c:pt idx="17">
                  <c:v>5067.0897026886469</c:v>
                </c:pt>
                <c:pt idx="18">
                  <c:v>5323.6781047914592</c:v>
                </c:pt>
                <c:pt idx="19">
                  <c:v>5595.3230754765418</c:v>
                </c:pt>
                <c:pt idx="20">
                  <c:v>5882.7096973773832</c:v>
                </c:pt>
                <c:pt idx="21">
                  <c:v>6186.5370668148125</c:v>
                </c:pt>
                <c:pt idx="22">
                  <c:v>6507.5183299306436</c:v>
                </c:pt>
                <c:pt idx="23">
                  <c:v>6846.380715584507</c:v>
                </c:pt>
                <c:pt idx="24">
                  <c:v>7203.8655653614023</c:v>
                </c:pt>
                <c:pt idx="25">
                  <c:v>7580.7283609941942</c:v>
                </c:pt>
                <c:pt idx="26">
                  <c:v>7977.7387494681116</c:v>
                </c:pt>
                <c:pt idx="27">
                  <c:v>8395.6805660423506</c:v>
                </c:pt>
                <c:pt idx="28">
                  <c:v>8835.3518553961621</c:v>
                </c:pt>
                <c:pt idx="29">
                  <c:v>9297.5648910828822</c:v>
                </c:pt>
                <c:pt idx="30">
                  <c:v>9783.1461934544841</c:v>
                </c:pt>
                <c:pt idx="31">
                  <c:v>10292.936546201101</c:v>
                </c:pt>
                <c:pt idx="32">
                  <c:v>10827.791011634148</c:v>
                </c:pt>
                <c:pt idx="33">
                  <c:v>11388.578944827706</c:v>
                </c:pt>
                <c:pt idx="34">
                  <c:v>11976.184006720818</c:v>
                </c:pt>
                <c:pt idx="35">
                  <c:v>12591.504176272336</c:v>
                </c:pt>
                <c:pt idx="36">
                  <c:v>13235.45176175099</c:v>
                </c:pt>
                <c:pt idx="37">
                  <c:v>13908.953411234452</c:v>
                </c:pt>
                <c:pt idx="38">
                  <c:v>14612.950122384269</c:v>
                </c:pt>
                <c:pt idx="39">
                  <c:v>15348.397251556729</c:v>
                </c:pt>
                <c:pt idx="40">
                  <c:v>16116.264522303938</c:v>
                </c:pt>
                <c:pt idx="41">
                  <c:v>16917.53603331442</c:v>
                </c:pt>
                <c:pt idx="42">
                  <c:v>17753.210265837402</c:v>
                </c:pt>
                <c:pt idx="43">
                  <c:v>18624.300090631772</c:v>
                </c:pt>
                <c:pt idx="44">
                  <c:v>19531.832774475832</c:v>
                </c:pt>
                <c:pt idx="45">
                  <c:v>20476.849986271645</c:v>
                </c:pt>
                <c:pt idx="46">
                  <c:v>21460.407802774411</c:v>
                </c:pt>
                <c:pt idx="47">
                  <c:v>22483.576713974344</c:v>
                </c:pt>
                <c:pt idx="48">
                  <c:v>23547.441628156881</c:v>
                </c:pt>
                <c:pt idx="49">
                  <c:v>24653.101876664135</c:v>
                </c:pt>
                <c:pt idx="50">
                  <c:v>25801.671218378884</c:v>
                </c:pt>
                <c:pt idx="51">
                  <c:v>26994.277843950815</c:v>
                </c:pt>
                <c:pt idx="52">
                  <c:v>28232.064379782594</c:v>
                </c:pt>
                <c:pt idx="53">
                  <c:v>29516.187891792582</c:v>
                </c:pt>
                <c:pt idx="54">
                  <c:v>30847.819888968919</c:v>
                </c:pt>
                <c:pt idx="55">
                  <c:v>32228.146326729326</c:v>
                </c:pt>
                <c:pt idx="56">
                  <c:v>33658.367610099172</c:v>
                </c:pt>
                <c:pt idx="57">
                  <c:v>35139.698596719805</c:v>
                </c:pt>
                <c:pt idx="58">
                  <c:v>36673.368599698093</c:v>
                </c:pt>
                <c:pt idx="59">
                  <c:v>38260.621390307235</c:v>
                </c:pt>
                <c:pt idx="60">
                  <c:v>39902.715200548271</c:v>
                </c:pt>
                <c:pt idx="61">
                  <c:v>41600.922725581026</c:v>
                </c:pt>
                <c:pt idx="62">
                  <c:v>43356.531126032321</c:v>
                </c:pt>
                <c:pt idx="63">
                  <c:v>45170.842030189393</c:v>
                </c:pt>
                <c:pt idx="64">
                  <c:v>47045.17153608465</c:v>
                </c:pt>
                <c:pt idx="65">
                  <c:v>48980.850213479265</c:v>
                </c:pt>
                <c:pt idx="66">
                  <c:v>50979.223105750621</c:v>
                </c:pt>
                <c:pt idx="67">
                  <c:v>53041.649731689897</c:v>
                </c:pt>
                <c:pt idx="68">
                  <c:v>55169.504087214467</c:v>
                </c:pt>
                <c:pt idx="69">
                  <c:v>57364.17464700048</c:v>
                </c:pt>
                <c:pt idx="70">
                  <c:v>59627.064366039864</c:v>
                </c:pt>
                <c:pt idx="71">
                  <c:v>61959.590681125796</c:v>
                </c:pt>
                <c:pt idx="72">
                  <c:v>64363.185512271084</c:v>
                </c:pt>
                <c:pt idx="73">
                  <c:v>66839.295264062559</c:v>
                </c:pt>
                <c:pt idx="74">
                  <c:v>69389.380826955705</c:v>
                </c:pt>
                <c:pt idx="75">
                  <c:v>72014.917578511871</c:v>
                </c:pt>
                <c:pt idx="76">
                  <c:v>74717.395384581934</c:v>
                </c:pt>
                <c:pt idx="77">
                  <c:v>77498.318600438448</c:v>
                </c:pt>
                <c:pt idx="78">
                  <c:v>80359.206071859779</c:v>
                </c:pt>
                <c:pt idx="79">
                  <c:v>83301.591136168267</c:v>
                </c:pt>
                <c:pt idx="80">
                  <c:v>86327.021623224369</c:v>
                </c:pt>
                <c:pt idx="81">
                  <c:v>89437.059856380205</c:v>
                </c:pt>
                <c:pt idx="82">
                  <c:v>92633.282653393122</c:v>
                </c:pt>
                <c:pt idx="83">
                  <c:v>95917.281327302626</c:v>
                </c:pt>
                <c:pt idx="84">
                  <c:v>99290.661687270986</c:v>
                </c:pt>
                <c:pt idx="85">
                  <c:v>102755.04403939142</c:v>
                </c:pt>
                <c:pt idx="86">
                  <c:v>106312.06318746261</c:v>
                </c:pt>
                <c:pt idx="87">
                  <c:v>109963.36843373402</c:v>
                </c:pt>
                <c:pt idx="88">
                  <c:v>113710.62357962139</c:v>
                </c:pt>
                <c:pt idx="89">
                  <c:v>117555.50692639469</c:v>
                </c:pt>
                <c:pt idx="90">
                  <c:v>121499.71127583999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67-1E4A-91B6-0CF146BE6184}"/>
            </c:ext>
          </c:extLst>
        </c:ser>
        <c:ser>
          <c:idx val="1"/>
          <c:order val="1"/>
          <c:tx>
            <c:strRef>
              <c:f>Loop_BW!$Q$36</c:f>
              <c:strCache>
                <c:ptCount val="1"/>
                <c:pt idx="0">
                  <c:v>BW_SWR2 (Hz)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Loop_BW!$O$37:$O$127</c:f>
              <c:numCache>
                <c:formatCode>General</c:formatCode>
                <c:ptCount val="91"/>
                <c:pt idx="0">
                  <c:v>7</c:v>
                </c:pt>
                <c:pt idx="1">
                  <c:v>7.25</c:v>
                </c:pt>
                <c:pt idx="2">
                  <c:v>7.5</c:v>
                </c:pt>
                <c:pt idx="3">
                  <c:v>7.75</c:v>
                </c:pt>
                <c:pt idx="4">
                  <c:v>8</c:v>
                </c:pt>
                <c:pt idx="5">
                  <c:v>8.25</c:v>
                </c:pt>
                <c:pt idx="6">
                  <c:v>8.5</c:v>
                </c:pt>
                <c:pt idx="7">
                  <c:v>8.75</c:v>
                </c:pt>
                <c:pt idx="8">
                  <c:v>9</c:v>
                </c:pt>
                <c:pt idx="9">
                  <c:v>9.25</c:v>
                </c:pt>
                <c:pt idx="10">
                  <c:v>9.5</c:v>
                </c:pt>
                <c:pt idx="11">
                  <c:v>9.75</c:v>
                </c:pt>
                <c:pt idx="12">
                  <c:v>10</c:v>
                </c:pt>
                <c:pt idx="13">
                  <c:v>10.25</c:v>
                </c:pt>
                <c:pt idx="14">
                  <c:v>10.5</c:v>
                </c:pt>
                <c:pt idx="15">
                  <c:v>10.75</c:v>
                </c:pt>
                <c:pt idx="16">
                  <c:v>11</c:v>
                </c:pt>
                <c:pt idx="17">
                  <c:v>11.25</c:v>
                </c:pt>
                <c:pt idx="18">
                  <c:v>11.5</c:v>
                </c:pt>
                <c:pt idx="19">
                  <c:v>11.75</c:v>
                </c:pt>
                <c:pt idx="20">
                  <c:v>12</c:v>
                </c:pt>
                <c:pt idx="21">
                  <c:v>12.25</c:v>
                </c:pt>
                <c:pt idx="22">
                  <c:v>12.5</c:v>
                </c:pt>
                <c:pt idx="23">
                  <c:v>12.75</c:v>
                </c:pt>
                <c:pt idx="24">
                  <c:v>13</c:v>
                </c:pt>
                <c:pt idx="25">
                  <c:v>13.25</c:v>
                </c:pt>
                <c:pt idx="26">
                  <c:v>13.5</c:v>
                </c:pt>
                <c:pt idx="27">
                  <c:v>13.75</c:v>
                </c:pt>
                <c:pt idx="28">
                  <c:v>14</c:v>
                </c:pt>
                <c:pt idx="29">
                  <c:v>14.25</c:v>
                </c:pt>
                <c:pt idx="30">
                  <c:v>14.5</c:v>
                </c:pt>
                <c:pt idx="31">
                  <c:v>14.75</c:v>
                </c:pt>
                <c:pt idx="32">
                  <c:v>15</c:v>
                </c:pt>
                <c:pt idx="33">
                  <c:v>15.25</c:v>
                </c:pt>
                <c:pt idx="34">
                  <c:v>15.5</c:v>
                </c:pt>
                <c:pt idx="35">
                  <c:v>15.75</c:v>
                </c:pt>
                <c:pt idx="36">
                  <c:v>16</c:v>
                </c:pt>
                <c:pt idx="37">
                  <c:v>16.25</c:v>
                </c:pt>
                <c:pt idx="38">
                  <c:v>16.5</c:v>
                </c:pt>
                <c:pt idx="39">
                  <c:v>16.75</c:v>
                </c:pt>
                <c:pt idx="40">
                  <c:v>17</c:v>
                </c:pt>
                <c:pt idx="41">
                  <c:v>17.25</c:v>
                </c:pt>
                <c:pt idx="42">
                  <c:v>17.5</c:v>
                </c:pt>
                <c:pt idx="43">
                  <c:v>17.75</c:v>
                </c:pt>
                <c:pt idx="44">
                  <c:v>18</c:v>
                </c:pt>
                <c:pt idx="45">
                  <c:v>18.25</c:v>
                </c:pt>
                <c:pt idx="46">
                  <c:v>18.5</c:v>
                </c:pt>
                <c:pt idx="47">
                  <c:v>18.75</c:v>
                </c:pt>
                <c:pt idx="48">
                  <c:v>19</c:v>
                </c:pt>
                <c:pt idx="49">
                  <c:v>19.25</c:v>
                </c:pt>
                <c:pt idx="50">
                  <c:v>19.5</c:v>
                </c:pt>
                <c:pt idx="51">
                  <c:v>19.75</c:v>
                </c:pt>
                <c:pt idx="52">
                  <c:v>20</c:v>
                </c:pt>
                <c:pt idx="53">
                  <c:v>20.25</c:v>
                </c:pt>
                <c:pt idx="54">
                  <c:v>20.5</c:v>
                </c:pt>
                <c:pt idx="55">
                  <c:v>20.75</c:v>
                </c:pt>
                <c:pt idx="56">
                  <c:v>21</c:v>
                </c:pt>
                <c:pt idx="57">
                  <c:v>21.25</c:v>
                </c:pt>
                <c:pt idx="58">
                  <c:v>21.5</c:v>
                </c:pt>
                <c:pt idx="59">
                  <c:v>21.75</c:v>
                </c:pt>
                <c:pt idx="60">
                  <c:v>22</c:v>
                </c:pt>
                <c:pt idx="61">
                  <c:v>22.25</c:v>
                </c:pt>
                <c:pt idx="62">
                  <c:v>22.5</c:v>
                </c:pt>
                <c:pt idx="63">
                  <c:v>22.75</c:v>
                </c:pt>
                <c:pt idx="64">
                  <c:v>23</c:v>
                </c:pt>
                <c:pt idx="65">
                  <c:v>23.25</c:v>
                </c:pt>
                <c:pt idx="66">
                  <c:v>23.5</c:v>
                </c:pt>
                <c:pt idx="67">
                  <c:v>23.75</c:v>
                </c:pt>
                <c:pt idx="68">
                  <c:v>24</c:v>
                </c:pt>
                <c:pt idx="69">
                  <c:v>24.25</c:v>
                </c:pt>
                <c:pt idx="70">
                  <c:v>24.5</c:v>
                </c:pt>
                <c:pt idx="71">
                  <c:v>24.75</c:v>
                </c:pt>
                <c:pt idx="72">
                  <c:v>25</c:v>
                </c:pt>
                <c:pt idx="73">
                  <c:v>25.25</c:v>
                </c:pt>
                <c:pt idx="74">
                  <c:v>25.5</c:v>
                </c:pt>
                <c:pt idx="75">
                  <c:v>25.75</c:v>
                </c:pt>
                <c:pt idx="76">
                  <c:v>26</c:v>
                </c:pt>
                <c:pt idx="77">
                  <c:v>26.25</c:v>
                </c:pt>
                <c:pt idx="78">
                  <c:v>26.5</c:v>
                </c:pt>
                <c:pt idx="79">
                  <c:v>26.75</c:v>
                </c:pt>
                <c:pt idx="80">
                  <c:v>27</c:v>
                </c:pt>
                <c:pt idx="81">
                  <c:v>27.25</c:v>
                </c:pt>
                <c:pt idx="82">
                  <c:v>27.5</c:v>
                </c:pt>
                <c:pt idx="83">
                  <c:v>27.75</c:v>
                </c:pt>
                <c:pt idx="84">
                  <c:v>28</c:v>
                </c:pt>
                <c:pt idx="85">
                  <c:v>28.25</c:v>
                </c:pt>
                <c:pt idx="86">
                  <c:v>28.5</c:v>
                </c:pt>
                <c:pt idx="87">
                  <c:v>28.75</c:v>
                </c:pt>
                <c:pt idx="88">
                  <c:v>29</c:v>
                </c:pt>
                <c:pt idx="89">
                  <c:v>29.25</c:v>
                </c:pt>
                <c:pt idx="90">
                  <c:v>29.5</c:v>
                </c:pt>
              </c:numCache>
            </c:numRef>
          </c:xVal>
          <c:yVal>
            <c:numRef>
              <c:f>Loop_BW!$Q$37:$Q$127</c:f>
              <c:numCache>
                <c:formatCode>General</c:formatCode>
                <c:ptCount val="91"/>
                <c:pt idx="0" formatCode="0">
                  <c:v>1705.3138256658483</c:v>
                </c:pt>
                <c:pt idx="1">
                  <c:v>1770.4741732847619</c:v>
                </c:pt>
                <c:pt idx="2">
                  <c:v>1839.5168246586525</c:v>
                </c:pt>
                <c:pt idx="3">
                  <c:v>1912.7663564442307</c:v>
                </c:pt>
                <c:pt idx="4">
                  <c:v>1990.5558809071385</c:v>
                </c:pt>
                <c:pt idx="5">
                  <c:v>2073.227234108092</c:v>
                </c:pt>
                <c:pt idx="6">
                  <c:v>2161.131138603188</c:v>
                </c:pt>
                <c:pt idx="7">
                  <c:v>2254.6273447540707</c:v>
                </c:pt>
                <c:pt idx="8">
                  <c:v>2354.0847539878164</c:v>
                </c:pt>
                <c:pt idx="9">
                  <c:v>2459.8815267470286</c:v>
                </c:pt>
                <c:pt idx="10">
                  <c:v>2572.4051773920969</c:v>
                </c:pt>
                <c:pt idx="11">
                  <c:v>2692.0526579328825</c:v>
                </c:pt>
                <c:pt idx="12">
                  <c:v>2819.2304321560496</c:v>
                </c:pt>
                <c:pt idx="13">
                  <c:v>2954.3545414611317</c:v>
                </c:pt>
                <c:pt idx="14">
                  <c:v>3097.8506635114004</c:v>
                </c:pt>
                <c:pt idx="15">
                  <c:v>3250.1541646353644</c:v>
                </c:pt>
                <c:pt idx="16">
                  <c:v>3411.7101467739567</c:v>
                </c:pt>
                <c:pt idx="17">
                  <c:v>3582.9734896516693</c:v>
                </c:pt>
                <c:pt idx="18">
                  <c:v>3764.4088887523885</c:v>
                </c:pt>
                <c:pt idx="19">
                  <c:v>3956.4908895990316</c:v>
                </c:pt>
                <c:pt idx="20">
                  <c:v>4159.7039187674109</c:v>
                </c:pt>
                <c:pt idx="21">
                  <c:v>4374.5423120066871</c:v>
                </c:pt>
                <c:pt idx="22">
                  <c:v>4601.5103397897155</c:v>
                </c:pt>
                <c:pt idx="23">
                  <c:v>4841.1222305746132</c:v>
                </c:pt>
                <c:pt idx="24">
                  <c:v>5093.9021920233099</c:v>
                </c:pt>
                <c:pt idx="25">
                  <c:v>5360.3844303921769</c:v>
                </c:pt>
                <c:pt idx="26">
                  <c:v>5641.1131682835894</c:v>
                </c:pt>
                <c:pt idx="27">
                  <c:v>5936.6426609246582</c:v>
                </c:pt>
                <c:pt idx="28">
                  <c:v>6247.5372111197712</c:v>
                </c:pt>
                <c:pt idx="29">
                  <c:v>6574.3711830066704</c:v>
                </c:pt>
                <c:pt idx="30">
                  <c:v>6917.7290147310259</c:v>
                </c:pt>
                <c:pt idx="31">
                  <c:v>7278.2052301416406</c:v>
                </c:pt>
                <c:pt idx="32">
                  <c:v>7656.4044495972539</c:v>
                </c:pt>
                <c:pt idx="33">
                  <c:v>8052.9413999660082</c:v>
                </c:pt>
                <c:pt idx="34">
                  <c:v>8468.4409238901681</c:v>
                </c:pt>
                <c:pt idx="35">
                  <c:v>8903.5379883809019</c:v>
                </c:pt>
                <c:pt idx="36">
                  <c:v>9358.8776928015632</c:v>
                </c:pt>
                <c:pt idx="37">
                  <c:v>9835.1152762916445</c:v>
                </c:pt>
                <c:pt idx="38">
                  <c:v>10332.916124678706</c:v>
                </c:pt>
                <c:pt idx="39">
                  <c:v>10852.955776920733</c:v>
                </c:pt>
                <c:pt idx="40">
                  <c:v>11395.919931117291</c:v>
                </c:pt>
                <c:pt idx="41">
                  <c:v>11962.504450124394</c:v>
                </c:pt>
                <c:pt idx="42">
                  <c:v>12553.415366804258</c:v>
                </c:pt>
                <c:pt idx="43">
                  <c:v>13169.368888938958</c:v>
                </c:pt>
                <c:pt idx="44">
                  <c:v>13811.09140383352</c:v>
                </c:pt>
                <c:pt idx="45">
                  <c:v>14479.319482632343</c:v>
                </c:pt>
                <c:pt idx="46">
                  <c:v>15174.799884370483</c:v>
                </c:pt>
                <c:pt idx="47">
                  <c:v>15898.289559779212</c:v>
                </c:pt>
                <c:pt idx="48">
                  <c:v>16650.555654864129</c:v>
                </c:pt>
                <c:pt idx="49">
                  <c:v>17432.375514272011</c:v>
                </c:pt>
                <c:pt idx="50">
                  <c:v>18244.53668446148</c:v>
                </c:pt>
                <c:pt idx="51">
                  <c:v>19087.836916691398</c:v>
                </c:pt>
                <c:pt idx="52">
                  <c:v>19963.084169839454</c:v>
                </c:pt>
                <c:pt idx="53">
                  <c:v>20871.096613062804</c:v>
                </c:pt>
                <c:pt idx="54">
                  <c:v>21812.702628311177</c:v>
                </c:pt>
                <c:pt idx="55">
                  <c:v>22788.740812702632</c:v>
                </c:pt>
                <c:pt idx="56">
                  <c:v>23800.059980770777</c:v>
                </c:pt>
                <c:pt idx="57">
                  <c:v>24847.519166591985</c:v>
                </c:pt>
                <c:pt idx="58">
                  <c:v>25931.987625800324</c:v>
                </c:pt>
                <c:pt idx="59">
                  <c:v>27054.34483749732</c:v>
                </c:pt>
                <c:pt idx="60">
                  <c:v>28215.480506063213</c:v>
                </c:pt>
                <c:pt idx="61">
                  <c:v>29416.294562875897</c:v>
                </c:pt>
                <c:pt idx="62">
                  <c:v>30657.697167943075</c:v>
                </c:pt>
                <c:pt idx="63">
                  <c:v>31940.608711453238</c:v>
                </c:pt>
                <c:pt idx="64">
                  <c:v>33265.959815249807</c:v>
                </c:pt>
                <c:pt idx="65">
                  <c:v>34634.691334233743</c:v>
                </c:pt>
                <c:pt idx="66">
                  <c:v>36047.754357698192</c:v>
                </c:pt>
                <c:pt idx="67">
                  <c:v>37506.110210599545</c:v>
                </c:pt>
                <c:pt idx="68">
                  <c:v>39010.730454768302</c:v>
                </c:pt>
                <c:pt idx="69">
                  <c:v>40562.596890063469</c:v>
                </c:pt>
                <c:pt idx="70">
                  <c:v>42162.701555473541</c:v>
                </c:pt>
                <c:pt idx="71">
                  <c:v>43812.046730166869</c:v>
                </c:pt>
                <c:pt idx="72">
                  <c:v>45511.644934494638</c:v>
                </c:pt>
                <c:pt idx="73">
                  <c:v>47262.518930948529</c:v>
                </c:pt>
                <c:pt idx="74">
                  <c:v>49065.701725076186</c:v>
                </c:pt>
                <c:pt idx="75">
                  <c:v>50922.236566356056</c:v>
                </c:pt>
                <c:pt idx="76">
                  <c:v>52833.176949034336</c:v>
                </c:pt>
                <c:pt idx="77">
                  <c:v>54799.586612925581</c:v>
                </c:pt>
                <c:pt idx="78">
                  <c:v>56822.539544179235</c:v>
                </c:pt>
                <c:pt idx="79">
                  <c:v>58903.119976013782</c:v>
                </c:pt>
                <c:pt idx="80">
                  <c:v>61042.422389419677</c:v>
                </c:pt>
                <c:pt idx="81">
                  <c:v>63241.551513833598</c:v>
                </c:pt>
                <c:pt idx="82">
                  <c:v>65501.622327784462</c:v>
                </c:pt>
                <c:pt idx="83">
                  <c:v>67823.760059513501</c:v>
                </c:pt>
                <c:pt idx="84">
                  <c:v>70209.100187568649</c:v>
                </c:pt>
                <c:pt idx="85">
                  <c:v>72658.788441376004</c:v>
                </c:pt>
                <c:pt idx="86">
                  <c:v>75173.980801787548</c:v>
                </c:pt>
                <c:pt idx="87">
                  <c:v>77755.843501608077</c:v>
                </c:pt>
                <c:pt idx="88">
                  <c:v>80405.553026101217</c:v>
                </c:pt>
                <c:pt idx="89">
                  <c:v>83124.296113475852</c:v>
                </c:pt>
                <c:pt idx="90">
                  <c:v>85913.269755354093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67-1E4A-91B6-0CF146BE6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126479"/>
        <c:axId val="253081679"/>
      </c:scatterChart>
      <c:valAx>
        <c:axId val="50612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53081679"/>
        <c:crosses val="autoZero"/>
        <c:crossBetween val="midCat"/>
      </c:valAx>
      <c:valAx>
        <c:axId val="25308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06126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136430</xdr:colOff>
      <xdr:row>30</xdr:row>
      <xdr:rowOff>377344</xdr:rowOff>
    </xdr:from>
    <xdr:to>
      <xdr:col>39</xdr:col>
      <xdr:colOff>115455</xdr:colOff>
      <xdr:row>101</xdr:row>
      <xdr:rowOff>76970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2BB89-D3AD-C94C-5C23-5B5472AC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0"/>
  <sheetViews>
    <sheetView zoomScale="195" zoomScaleNormal="195" workbookViewId="0">
      <pane ySplit="2" topLeftCell="A3" activePane="bottomLeft" state="frozen"/>
      <selection pane="bottomLeft" activeCell="E22" sqref="E22:E23"/>
    </sheetView>
  </sheetViews>
  <sheetFormatPr baseColWidth="10" defaultColWidth="8.83203125" defaultRowHeight="15"/>
  <cols>
    <col min="1" max="1" width="34" customWidth="1"/>
    <col min="2" max="2" width="18" customWidth="1"/>
    <col min="3" max="3" width="12" customWidth="1"/>
    <col min="4" max="4" width="30" customWidth="1"/>
    <col min="5" max="5" width="20" customWidth="1"/>
    <col min="6" max="12" width="12" hidden="1" customWidth="1"/>
  </cols>
  <sheetData>
    <row r="1" spans="1:6" ht="19">
      <c r="A1" s="20" t="s">
        <v>0</v>
      </c>
      <c r="B1" s="17"/>
      <c r="C1" s="17"/>
      <c r="D1" s="17"/>
      <c r="E1" s="17"/>
      <c r="F1" s="17"/>
    </row>
    <row r="2" spans="1:6">
      <c r="A2" s="16" t="s">
        <v>1</v>
      </c>
      <c r="B2" s="17"/>
      <c r="C2" s="17"/>
      <c r="D2" s="16" t="s">
        <v>2</v>
      </c>
      <c r="E2" s="17"/>
      <c r="F2" s="17"/>
    </row>
    <row r="3" spans="1:6">
      <c r="A3" s="1" t="s">
        <v>3</v>
      </c>
      <c r="B3" s="2">
        <v>1</v>
      </c>
      <c r="C3" s="1" t="s">
        <v>4</v>
      </c>
      <c r="D3" s="3" t="s">
        <v>5</v>
      </c>
      <c r="E3" s="4">
        <v>299792458</v>
      </c>
      <c r="F3" s="3" t="s">
        <v>6</v>
      </c>
    </row>
    <row r="4" spans="1:6">
      <c r="A4" s="1" t="s">
        <v>7</v>
      </c>
      <c r="B4" s="2">
        <v>22</v>
      </c>
      <c r="C4" s="1" t="s">
        <v>8</v>
      </c>
      <c r="D4" s="3" t="s">
        <v>9</v>
      </c>
      <c r="E4" s="4">
        <f>4*PI()*0.0000001</f>
        <v>1.2566370614359173E-6</v>
      </c>
      <c r="F4" s="3" t="s">
        <v>10</v>
      </c>
    </row>
    <row r="5" spans="1:6">
      <c r="A5" s="1" t="s">
        <v>11</v>
      </c>
      <c r="B5" s="2">
        <v>0</v>
      </c>
      <c r="C5" s="1" t="s">
        <v>12</v>
      </c>
      <c r="D5" s="3" t="s">
        <v>13</v>
      </c>
      <c r="E5" s="5">
        <v>1.7240000000000001E-8</v>
      </c>
      <c r="F5" s="3" t="s">
        <v>14</v>
      </c>
    </row>
    <row r="6" spans="1:6">
      <c r="A6" s="1" t="s">
        <v>15</v>
      </c>
      <c r="B6" s="2">
        <v>14.35</v>
      </c>
      <c r="C6" s="1" t="s">
        <v>16</v>
      </c>
    </row>
    <row r="7" spans="1:6">
      <c r="A7" s="1" t="s">
        <v>17</v>
      </c>
      <c r="B7" s="2">
        <v>7</v>
      </c>
      <c r="C7" s="1" t="s">
        <v>16</v>
      </c>
    </row>
    <row r="8" spans="1:6">
      <c r="A8" s="1" t="s">
        <v>18</v>
      </c>
      <c r="B8" s="2">
        <v>29.7</v>
      </c>
      <c r="C8" s="1" t="s">
        <v>16</v>
      </c>
    </row>
    <row r="9" spans="1:6">
      <c r="A9" s="1" t="s">
        <v>19</v>
      </c>
      <c r="B9" s="2">
        <v>0.25</v>
      </c>
      <c r="C9" s="1" t="s">
        <v>16</v>
      </c>
    </row>
    <row r="10" spans="1:6">
      <c r="A10" s="1" t="s">
        <v>20</v>
      </c>
      <c r="B10" s="2">
        <v>120</v>
      </c>
      <c r="C10" s="1" t="s">
        <v>21</v>
      </c>
    </row>
    <row r="12" spans="1:6">
      <c r="A12" s="16" t="s">
        <v>22</v>
      </c>
      <c r="B12" s="17"/>
      <c r="C12" s="17"/>
    </row>
    <row r="13" spans="1:6">
      <c r="A13" s="1" t="s">
        <v>23</v>
      </c>
      <c r="B13" s="1">
        <f>B4/1000</f>
        <v>2.1999999999999999E-2</v>
      </c>
      <c r="C13" s="1" t="s">
        <v>4</v>
      </c>
    </row>
    <row r="14" spans="1:6">
      <c r="A14" s="1" t="s">
        <v>24</v>
      </c>
      <c r="B14" s="1">
        <f>B3/2</f>
        <v>0.5</v>
      </c>
      <c r="C14" s="1" t="s">
        <v>4</v>
      </c>
    </row>
    <row r="15" spans="1:6">
      <c r="A15" s="1" t="s">
        <v>25</v>
      </c>
      <c r="B15" s="1">
        <f>B13/2</f>
        <v>1.0999999999999999E-2</v>
      </c>
      <c r="C15" s="1" t="s">
        <v>4</v>
      </c>
    </row>
    <row r="16" spans="1:6">
      <c r="A16" s="1" t="s">
        <v>26</v>
      </c>
      <c r="B16" s="1">
        <f>2*PI()*B14</f>
        <v>3.1415926535897931</v>
      </c>
      <c r="C16" s="1" t="s">
        <v>4</v>
      </c>
    </row>
    <row r="17" spans="1:3">
      <c r="A17" s="1" t="s">
        <v>27</v>
      </c>
      <c r="B17" s="1">
        <f>PI()*B14^2</f>
        <v>0.78539816339744828</v>
      </c>
      <c r="C17" s="1" t="s">
        <v>28</v>
      </c>
    </row>
    <row r="18" spans="1:3">
      <c r="A18" s="1" t="s">
        <v>29</v>
      </c>
      <c r="B18" s="6">
        <f>E4*B14*(LN(8*B14/B15)-2)</f>
        <v>2.4480259875145916E-6</v>
      </c>
      <c r="C18" s="1" t="s">
        <v>30</v>
      </c>
    </row>
    <row r="19" spans="1:3">
      <c r="A19" s="1" t="s">
        <v>31</v>
      </c>
      <c r="B19" s="1">
        <v>0</v>
      </c>
      <c r="C19" s="1" t="s">
        <v>32</v>
      </c>
    </row>
    <row r="21" spans="1:3">
      <c r="A21" s="16" t="s">
        <v>33</v>
      </c>
      <c r="B21" s="17"/>
      <c r="C21" s="17"/>
    </row>
    <row r="22" spans="1:3" ht="16">
      <c r="A22" s="7" t="s">
        <v>34</v>
      </c>
      <c r="B22" s="7">
        <f>B6*1000000</f>
        <v>14350000</v>
      </c>
      <c r="C22" s="7" t="s">
        <v>35</v>
      </c>
    </row>
    <row r="23" spans="1:3" ht="16">
      <c r="A23" s="7" t="s">
        <v>36</v>
      </c>
      <c r="B23" s="7">
        <f>E3/B22</f>
        <v>20.891460487804878</v>
      </c>
      <c r="C23" s="7" t="s">
        <v>4</v>
      </c>
    </row>
    <row r="24" spans="1:3" ht="16">
      <c r="A24" s="7" t="s">
        <v>37</v>
      </c>
      <c r="B24" s="7">
        <f>SQRT(E5/(PI()*B22*E4))</f>
        <v>1.7444672149687641E-5</v>
      </c>
      <c r="C24" s="7" t="s">
        <v>4</v>
      </c>
    </row>
    <row r="25" spans="1:3" ht="16">
      <c r="A25" s="7" t="s">
        <v>38</v>
      </c>
      <c r="B25" s="7">
        <f>B16*E5/(PI()*B13*B24)</f>
        <v>4.4921243398110829E-2</v>
      </c>
      <c r="C25" s="7" t="s">
        <v>32</v>
      </c>
    </row>
    <row r="26" spans="1:3" ht="16">
      <c r="A26" s="7" t="s">
        <v>39</v>
      </c>
      <c r="B26" s="7">
        <f>31200*(B17/(B23^2))^2</f>
        <v>0.10103204631245934</v>
      </c>
      <c r="C26" s="7" t="s">
        <v>32</v>
      </c>
    </row>
    <row r="27" spans="1:3" ht="16">
      <c r="A27" s="7" t="s">
        <v>40</v>
      </c>
      <c r="B27" s="7">
        <f>B25+B26+B19</f>
        <v>0.14595328971057017</v>
      </c>
      <c r="C27" s="7" t="s">
        <v>32</v>
      </c>
    </row>
    <row r="28" spans="1:3" ht="16">
      <c r="A28" s="7" t="s">
        <v>41</v>
      </c>
      <c r="B28" s="7">
        <f>2*PI()*B22*B18/B27</f>
        <v>1512.2859072738838</v>
      </c>
      <c r="C28" s="7"/>
    </row>
    <row r="29" spans="1:3" ht="16">
      <c r="A29" s="7" t="s">
        <v>42</v>
      </c>
      <c r="B29" s="8">
        <f>B22/B28</f>
        <v>9488.9464558113687</v>
      </c>
      <c r="C29" s="7" t="s">
        <v>35</v>
      </c>
    </row>
    <row r="30" spans="1:3" ht="16">
      <c r="A30" s="7" t="s">
        <v>43</v>
      </c>
      <c r="B30" s="9">
        <f>B29/1000</f>
        <v>9.4889464558113694</v>
      </c>
      <c r="C30" s="7" t="s">
        <v>44</v>
      </c>
    </row>
    <row r="31" spans="1:3" ht="32">
      <c r="A31" s="7" t="s">
        <v>45</v>
      </c>
      <c r="B31" s="8">
        <f>B29*SQRT(0.5)</f>
        <v>6709.6983852202757</v>
      </c>
      <c r="C31" s="7" t="s">
        <v>35</v>
      </c>
    </row>
    <row r="32" spans="1:3" ht="16">
      <c r="A32" s="7" t="s">
        <v>46</v>
      </c>
      <c r="B32" s="9">
        <f>B31/1000</f>
        <v>6.7096983852202756</v>
      </c>
      <c r="C32" s="7" t="s">
        <v>44</v>
      </c>
    </row>
    <row r="33" spans="1:17" ht="16">
      <c r="A33" s="7" t="s">
        <v>47</v>
      </c>
      <c r="B33" s="10">
        <f>IF(B27&gt;0,B26/B27,0)</f>
        <v>0.69222178213871688</v>
      </c>
      <c r="C33" s="7"/>
    </row>
    <row r="35" spans="1:17">
      <c r="A35" s="18" t="s">
        <v>48</v>
      </c>
      <c r="B35" s="18"/>
      <c r="C35" s="18"/>
      <c r="D35" s="18"/>
      <c r="E35" s="18"/>
      <c r="O35" t="str">
        <f>A35</f>
        <v>Frequency table (for plotting)</v>
      </c>
    </row>
    <row r="36" spans="1:17">
      <c r="A36" s="11" t="s">
        <v>49</v>
      </c>
      <c r="B36" s="11" t="s">
        <v>50</v>
      </c>
      <c r="C36" s="11" t="s">
        <v>43</v>
      </c>
      <c r="D36" s="11" t="s">
        <v>51</v>
      </c>
      <c r="E36" s="11" t="s">
        <v>46</v>
      </c>
      <c r="F36" s="11" t="s">
        <v>34</v>
      </c>
      <c r="G36" s="11" t="s">
        <v>52</v>
      </c>
      <c r="H36" s="11" t="s">
        <v>53</v>
      </c>
      <c r="I36" s="11" t="s">
        <v>54</v>
      </c>
      <c r="J36" s="11" t="s">
        <v>55</v>
      </c>
      <c r="K36" s="11" t="s">
        <v>56</v>
      </c>
      <c r="L36" s="11" t="s">
        <v>57</v>
      </c>
      <c r="O36" t="str">
        <f t="shared" ref="O36:O99" si="0">A36</f>
        <v>f (MHz)</v>
      </c>
      <c r="P36" t="str">
        <f>B36</f>
        <v>BW_3dB (Hz)</v>
      </c>
      <c r="Q36" s="15" t="str">
        <f>D36</f>
        <v>BW_SWR2 (Hz)</v>
      </c>
    </row>
    <row r="37" spans="1:17">
      <c r="A37" s="12">
        <f>IF(ROW()-37+1&lt;=$B$10,$B$7,"")</f>
        <v>7</v>
      </c>
      <c r="B37" s="13">
        <f t="shared" ref="B37:B100" si="1">IF(A37="","",F37/L37)</f>
        <v>2411.6779403589903</v>
      </c>
      <c r="C37" s="14">
        <f t="shared" ref="C37:C100" si="2">IF(B37="","",B37/1000)</f>
        <v>2.4116779403589903</v>
      </c>
      <c r="D37" s="13">
        <f t="shared" ref="D37:D100" si="3">IF(B37="","",B37*SQRT(0.5))</f>
        <v>1705.3138256658483</v>
      </c>
      <c r="E37" s="14">
        <f t="shared" ref="E37:E100" si="4">IF(D37="","",D37/1000)</f>
        <v>1.7053138256658482</v>
      </c>
      <c r="F37" s="1">
        <f t="shared" ref="F37:F100" si="5">IF(A37="","",A37*1000000)</f>
        <v>7000000</v>
      </c>
      <c r="G37" s="1">
        <f t="shared" ref="G37:G100" si="6">IF(F37="","",$E$3/F37)</f>
        <v>42.827494000000002</v>
      </c>
      <c r="H37" s="1">
        <f t="shared" ref="H37:H100" si="7">IF(F37="","",SQRT($E$5/(PI()*F37*$E$4)))</f>
        <v>2.4976969434674811E-5</v>
      </c>
      <c r="I37" s="1">
        <f t="shared" ref="I37:I100" si="8">IF(F37="","",$B$16*$E$5/(PI()*$B$13*H37))</f>
        <v>3.1374357312879755E-2</v>
      </c>
      <c r="J37" s="1">
        <f t="shared" ref="J37:J100" si="9">IF(F37="","",31200*($B$17/(G37^2))^2)</f>
        <v>5.7206279688882013E-3</v>
      </c>
      <c r="K37" s="1">
        <f t="shared" ref="K37:K100" si="10">IF(F37="","",I37+J37+$B$19)</f>
        <v>3.7094985281767953E-2</v>
      </c>
      <c r="L37" s="1">
        <f t="shared" ref="L37:L100" si="11">IF(F37="","",2*PI()*F37*$B$18/K37)</f>
        <v>2902.5434461443947</v>
      </c>
      <c r="O37">
        <f t="shared" si="0"/>
        <v>7</v>
      </c>
      <c r="P37" s="15">
        <f>B37</f>
        <v>2411.6779403589903</v>
      </c>
      <c r="Q37" s="15">
        <f>D37</f>
        <v>1705.3138256658483</v>
      </c>
    </row>
    <row r="38" spans="1:17">
      <c r="A38" s="12">
        <f t="shared" ref="A38:A101" si="12">IF(A37="","",IF(A37+$B$9&gt;$B$8,"",A37+$B$9))</f>
        <v>7.25</v>
      </c>
      <c r="B38" s="13">
        <f t="shared" si="1"/>
        <v>2503.8285876906034</v>
      </c>
      <c r="C38" s="14">
        <f t="shared" si="2"/>
        <v>2.5038285876906032</v>
      </c>
      <c r="D38" s="13">
        <f t="shared" si="3"/>
        <v>1770.4741732847619</v>
      </c>
      <c r="E38" s="14">
        <f t="shared" si="4"/>
        <v>1.770474173284762</v>
      </c>
      <c r="F38" s="1">
        <f t="shared" si="5"/>
        <v>7250000</v>
      </c>
      <c r="G38" s="1">
        <f t="shared" si="6"/>
        <v>41.350683862068962</v>
      </c>
      <c r="H38" s="1">
        <f t="shared" si="7"/>
        <v>2.4542554218827847E-5</v>
      </c>
      <c r="I38" s="1">
        <f t="shared" si="8"/>
        <v>3.1929698785597316E-2</v>
      </c>
      <c r="J38" s="1">
        <f t="shared" si="9"/>
        <v>6.5826925474789444E-3</v>
      </c>
      <c r="K38" s="1">
        <f t="shared" si="10"/>
        <v>3.8512391333076261E-2</v>
      </c>
      <c r="L38" s="1">
        <f t="shared" si="11"/>
        <v>2895.5656292298386</v>
      </c>
      <c r="O38">
        <f t="shared" si="0"/>
        <v>7.25</v>
      </c>
      <c r="P38">
        <f t="shared" ref="P38:P101" si="13">B38</f>
        <v>2503.8285876906034</v>
      </c>
      <c r="Q38">
        <f t="shared" ref="Q38:Q101" si="14">D38</f>
        <v>1770.4741732847619</v>
      </c>
    </row>
    <row r="39" spans="1:17">
      <c r="A39" s="12">
        <f t="shared" si="12"/>
        <v>7.5</v>
      </c>
      <c r="B39" s="13">
        <f t="shared" si="1"/>
        <v>2601.4696416457568</v>
      </c>
      <c r="C39" s="14">
        <f t="shared" si="2"/>
        <v>2.6014696416457568</v>
      </c>
      <c r="D39" s="13">
        <f t="shared" si="3"/>
        <v>1839.5168246586525</v>
      </c>
      <c r="E39" s="14">
        <f t="shared" si="4"/>
        <v>1.8395168246586524</v>
      </c>
      <c r="F39" s="1">
        <f t="shared" si="5"/>
        <v>7500000</v>
      </c>
      <c r="G39" s="1">
        <f t="shared" si="6"/>
        <v>39.97232773333333</v>
      </c>
      <c r="H39" s="1">
        <f t="shared" si="7"/>
        <v>2.4130044937062061E-5</v>
      </c>
      <c r="I39" s="1">
        <f t="shared" si="8"/>
        <v>3.2475545142178881E-2</v>
      </c>
      <c r="J39" s="1">
        <f t="shared" si="9"/>
        <v>7.5387023876761095E-3</v>
      </c>
      <c r="K39" s="1">
        <f t="shared" si="10"/>
        <v>4.0014247529854989E-2</v>
      </c>
      <c r="L39" s="1">
        <f t="shared" si="11"/>
        <v>2882.9857861632804</v>
      </c>
      <c r="O39">
        <f t="shared" si="0"/>
        <v>7.5</v>
      </c>
      <c r="P39">
        <f t="shared" si="13"/>
        <v>2601.4696416457568</v>
      </c>
      <c r="Q39">
        <f t="shared" si="14"/>
        <v>1839.5168246586525</v>
      </c>
    </row>
    <row r="40" spans="1:17">
      <c r="A40" s="12">
        <f t="shared" si="12"/>
        <v>7.75</v>
      </c>
      <c r="B40" s="13">
        <f t="shared" si="1"/>
        <v>2705.0601229344006</v>
      </c>
      <c r="C40" s="14">
        <f t="shared" si="2"/>
        <v>2.7050601229344005</v>
      </c>
      <c r="D40" s="13">
        <f t="shared" si="3"/>
        <v>1912.7663564442307</v>
      </c>
      <c r="E40" s="14">
        <f t="shared" si="4"/>
        <v>1.9127663564442308</v>
      </c>
      <c r="F40" s="1">
        <f t="shared" si="5"/>
        <v>7750000</v>
      </c>
      <c r="G40" s="1">
        <f t="shared" si="6"/>
        <v>38.682897806451614</v>
      </c>
      <c r="H40" s="1">
        <f t="shared" si="7"/>
        <v>2.3737660332529603E-5</v>
      </c>
      <c r="I40" s="1">
        <f t="shared" si="8"/>
        <v>3.3012367379883882E-2</v>
      </c>
      <c r="J40" s="1">
        <f t="shared" si="9"/>
        <v>8.5952468737889205E-3</v>
      </c>
      <c r="K40" s="1">
        <f t="shared" si="10"/>
        <v>4.1607614253672806E-2</v>
      </c>
      <c r="L40" s="1">
        <f t="shared" si="11"/>
        <v>2865.0010157973638</v>
      </c>
      <c r="O40">
        <f t="shared" si="0"/>
        <v>7.75</v>
      </c>
      <c r="P40">
        <f t="shared" si="13"/>
        <v>2705.0601229344006</v>
      </c>
      <c r="Q40">
        <f t="shared" si="14"/>
        <v>1912.7663564442307</v>
      </c>
    </row>
    <row r="41" spans="1:17">
      <c r="A41" s="12">
        <f t="shared" si="12"/>
        <v>8</v>
      </c>
      <c r="B41" s="13">
        <f t="shared" si="1"/>
        <v>2815.0711234403984</v>
      </c>
      <c r="C41" s="14">
        <f t="shared" si="2"/>
        <v>2.8150711234403984</v>
      </c>
      <c r="D41" s="13">
        <f t="shared" si="3"/>
        <v>1990.5558809071385</v>
      </c>
      <c r="E41" s="14">
        <f t="shared" si="4"/>
        <v>1.9905558809071386</v>
      </c>
      <c r="F41" s="1">
        <f t="shared" si="5"/>
        <v>8000000</v>
      </c>
      <c r="G41" s="1">
        <f t="shared" si="6"/>
        <v>37.474057250000001</v>
      </c>
      <c r="H41" s="1">
        <f t="shared" si="7"/>
        <v>2.3363815546119491E-5</v>
      </c>
      <c r="I41" s="1">
        <f t="shared" si="8"/>
        <v>3.3540598798577591E-2</v>
      </c>
      <c r="J41" s="1">
        <f t="shared" si="9"/>
        <v>9.759138759086244E-3</v>
      </c>
      <c r="K41" s="1">
        <f t="shared" si="10"/>
        <v>4.3299737557663837E-2</v>
      </c>
      <c r="L41" s="1">
        <f t="shared" si="11"/>
        <v>2841.8464931084641</v>
      </c>
      <c r="O41">
        <f t="shared" si="0"/>
        <v>8</v>
      </c>
      <c r="P41">
        <f t="shared" si="13"/>
        <v>2815.0711234403984</v>
      </c>
      <c r="Q41">
        <f t="shared" si="14"/>
        <v>1990.5558809071385</v>
      </c>
    </row>
    <row r="42" spans="1:17">
      <c r="A42" s="12">
        <f t="shared" si="12"/>
        <v>8.25</v>
      </c>
      <c r="B42" s="13">
        <f t="shared" si="1"/>
        <v>2931.9860723569236</v>
      </c>
      <c r="C42" s="14">
        <f t="shared" si="2"/>
        <v>2.9319860723569238</v>
      </c>
      <c r="D42" s="13">
        <f t="shared" si="3"/>
        <v>2073.227234108092</v>
      </c>
      <c r="E42" s="14">
        <f t="shared" si="4"/>
        <v>2.0732272341080922</v>
      </c>
      <c r="F42" s="1">
        <f t="shared" si="5"/>
        <v>8250000</v>
      </c>
      <c r="G42" s="1">
        <f t="shared" si="6"/>
        <v>36.338479757575755</v>
      </c>
      <c r="H42" s="1">
        <f t="shared" si="7"/>
        <v>2.3007095124303689E-5</v>
      </c>
      <c r="I42" s="1">
        <f t="shared" si="8"/>
        <v>3.4060639094266383E-2</v>
      </c>
      <c r="J42" s="1">
        <f t="shared" si="9"/>
        <v>1.1037414165796587E-2</v>
      </c>
      <c r="K42" s="1">
        <f t="shared" si="10"/>
        <v>4.509805326006297E-2</v>
      </c>
      <c r="L42" s="1">
        <f t="shared" si="11"/>
        <v>2813.7923565810484</v>
      </c>
      <c r="O42">
        <f t="shared" si="0"/>
        <v>8.25</v>
      </c>
      <c r="P42">
        <f t="shared" si="13"/>
        <v>2931.9860723569236</v>
      </c>
      <c r="Q42">
        <f t="shared" si="14"/>
        <v>2073.227234108092</v>
      </c>
    </row>
    <row r="43" spans="1:17">
      <c r="A43" s="12">
        <f t="shared" si="12"/>
        <v>8.5</v>
      </c>
      <c r="B43" s="13">
        <f t="shared" si="1"/>
        <v>3056.3009662794375</v>
      </c>
      <c r="C43" s="14">
        <f t="shared" si="2"/>
        <v>3.0563009662794376</v>
      </c>
      <c r="D43" s="13">
        <f t="shared" si="3"/>
        <v>2161.131138603188</v>
      </c>
      <c r="E43" s="14">
        <f t="shared" si="4"/>
        <v>2.1611311386031882</v>
      </c>
      <c r="F43" s="1">
        <f t="shared" si="5"/>
        <v>8500000</v>
      </c>
      <c r="G43" s="1">
        <f t="shared" si="6"/>
        <v>35.269700941176474</v>
      </c>
      <c r="H43" s="1">
        <f t="shared" si="7"/>
        <v>2.2666230426846738E-5</v>
      </c>
      <c r="I43" s="1">
        <f t="shared" si="8"/>
        <v>3.4572857898250049E-2</v>
      </c>
      <c r="J43" s="1">
        <f t="shared" si="9"/>
        <v>1.243733258510806E-2</v>
      </c>
      <c r="K43" s="1">
        <f t="shared" si="10"/>
        <v>4.7010190483358111E-2</v>
      </c>
      <c r="L43" s="1">
        <f t="shared" si="11"/>
        <v>2781.139715552099</v>
      </c>
      <c r="O43">
        <f t="shared" si="0"/>
        <v>8.5</v>
      </c>
      <c r="P43">
        <f t="shared" si="13"/>
        <v>3056.3009662794375</v>
      </c>
      <c r="Q43">
        <f t="shared" si="14"/>
        <v>2161.131138603188</v>
      </c>
    </row>
    <row r="44" spans="1:17">
      <c r="A44" s="12">
        <f t="shared" si="12"/>
        <v>8.75</v>
      </c>
      <c r="B44" s="13">
        <f t="shared" si="1"/>
        <v>3188.5245690484462</v>
      </c>
      <c r="C44" s="14">
        <f t="shared" si="2"/>
        <v>3.1885245690484463</v>
      </c>
      <c r="D44" s="13">
        <f t="shared" si="3"/>
        <v>2254.6273447540707</v>
      </c>
      <c r="E44" s="14">
        <f t="shared" si="4"/>
        <v>2.2546273447540708</v>
      </c>
      <c r="F44" s="1">
        <f t="shared" si="5"/>
        <v>8750000</v>
      </c>
      <c r="G44" s="1">
        <f t="shared" si="6"/>
        <v>34.261995200000001</v>
      </c>
      <c r="H44" s="1">
        <f t="shared" si="7"/>
        <v>2.2340080611146948E-5</v>
      </c>
      <c r="I44" s="1">
        <f t="shared" si="8"/>
        <v>3.5077597850983383E-2</v>
      </c>
      <c r="J44" s="1">
        <f t="shared" si="9"/>
        <v>1.3966376877168458E-2</v>
      </c>
      <c r="K44" s="1">
        <f t="shared" si="10"/>
        <v>4.9043974728151842E-2</v>
      </c>
      <c r="L44" s="1">
        <f t="shared" si="11"/>
        <v>2744.2159564764679</v>
      </c>
      <c r="O44">
        <f t="shared" si="0"/>
        <v>8.75</v>
      </c>
      <c r="P44">
        <f t="shared" si="13"/>
        <v>3188.5245690484462</v>
      </c>
      <c r="Q44">
        <f t="shared" si="14"/>
        <v>2254.6273447540707</v>
      </c>
    </row>
    <row r="45" spans="1:17">
      <c r="A45" s="12">
        <f t="shared" si="12"/>
        <v>9</v>
      </c>
      <c r="B45" s="13">
        <f t="shared" si="1"/>
        <v>3329.1785860653004</v>
      </c>
      <c r="C45" s="14">
        <f t="shared" si="2"/>
        <v>3.3291785860653005</v>
      </c>
      <c r="D45" s="13">
        <f t="shared" si="3"/>
        <v>2354.0847539878164</v>
      </c>
      <c r="E45" s="14">
        <f t="shared" si="4"/>
        <v>2.3540847539878165</v>
      </c>
      <c r="F45" s="1">
        <f t="shared" si="5"/>
        <v>9000000</v>
      </c>
      <c r="G45" s="1">
        <f t="shared" si="6"/>
        <v>33.310273111111108</v>
      </c>
      <c r="H45" s="1">
        <f t="shared" si="7"/>
        <v>2.2027616542737028E-5</v>
      </c>
      <c r="I45" s="1">
        <f t="shared" si="8"/>
        <v>3.5575177283297378E-2</v>
      </c>
      <c r="J45" s="1">
        <f t="shared" si="9"/>
        <v>1.5632253271085177E-2</v>
      </c>
      <c r="K45" s="1">
        <f t="shared" si="10"/>
        <v>5.1207430554382552E-2</v>
      </c>
      <c r="L45" s="1">
        <f t="shared" si="11"/>
        <v>2703.3695451696831</v>
      </c>
      <c r="O45">
        <f t="shared" si="0"/>
        <v>9</v>
      </c>
      <c r="P45">
        <f t="shared" si="13"/>
        <v>3329.1785860653004</v>
      </c>
      <c r="Q45">
        <f t="shared" si="14"/>
        <v>2354.0847539878164</v>
      </c>
    </row>
    <row r="46" spans="1:17">
      <c r="A46" s="12">
        <f t="shared" si="12"/>
        <v>9.25</v>
      </c>
      <c r="B46" s="13">
        <f t="shared" si="1"/>
        <v>3478.7978169566832</v>
      </c>
      <c r="C46" s="14">
        <f t="shared" si="2"/>
        <v>3.4787978169566833</v>
      </c>
      <c r="D46" s="13">
        <f t="shared" si="3"/>
        <v>2459.8815267470286</v>
      </c>
      <c r="E46" s="14">
        <f t="shared" si="4"/>
        <v>2.4598815267470284</v>
      </c>
      <c r="F46" s="1">
        <f t="shared" si="5"/>
        <v>9250000</v>
      </c>
      <c r="G46" s="1">
        <f t="shared" si="6"/>
        <v>32.409995459459459</v>
      </c>
      <c r="H46" s="1">
        <f t="shared" si="7"/>
        <v>2.1727907114260216E-5</v>
      </c>
      <c r="I46" s="1">
        <f t="shared" si="8"/>
        <v>3.6065892564592951E-2</v>
      </c>
      <c r="J46" s="1">
        <f t="shared" si="9"/>
        <v>1.7442891364925234E-2</v>
      </c>
      <c r="K46" s="1">
        <f t="shared" si="10"/>
        <v>5.3508783929518189E-2</v>
      </c>
      <c r="L46" s="1">
        <f t="shared" si="11"/>
        <v>2658.9645293304429</v>
      </c>
      <c r="O46">
        <f t="shared" si="0"/>
        <v>9.25</v>
      </c>
      <c r="P46">
        <f t="shared" si="13"/>
        <v>3478.7978169566832</v>
      </c>
      <c r="Q46">
        <f t="shared" si="14"/>
        <v>2459.8815267470286</v>
      </c>
    </row>
    <row r="47" spans="1:17">
      <c r="A47" s="12">
        <f t="shared" si="12"/>
        <v>9.5</v>
      </c>
      <c r="B47" s="13">
        <f t="shared" si="1"/>
        <v>3637.9302897866705</v>
      </c>
      <c r="C47" s="14">
        <f t="shared" si="2"/>
        <v>3.6379302897866705</v>
      </c>
      <c r="D47" s="13">
        <f t="shared" si="3"/>
        <v>2572.4051773920969</v>
      </c>
      <c r="E47" s="14">
        <f t="shared" si="4"/>
        <v>2.5724051773920968</v>
      </c>
      <c r="F47" s="1">
        <f t="shared" si="5"/>
        <v>9500000</v>
      </c>
      <c r="G47" s="1">
        <f t="shared" si="6"/>
        <v>31.557100842105264</v>
      </c>
      <c r="H47" s="1">
        <f t="shared" si="7"/>
        <v>2.1440107558117772E-5</v>
      </c>
      <c r="I47" s="1">
        <f t="shared" si="8"/>
        <v>3.6550020167210359E-2</v>
      </c>
      <c r="J47" s="1">
        <f t="shared" si="9"/>
        <v>1.9406444125715308E-2</v>
      </c>
      <c r="K47" s="1">
        <f t="shared" si="10"/>
        <v>5.5956464292925667E-2</v>
      </c>
      <c r="L47" s="1">
        <f t="shared" si="11"/>
        <v>2611.3749421397197</v>
      </c>
      <c r="O47">
        <f t="shared" si="0"/>
        <v>9.5</v>
      </c>
      <c r="P47">
        <f t="shared" si="13"/>
        <v>3637.9302897866705</v>
      </c>
      <c r="Q47">
        <f t="shared" si="14"/>
        <v>2572.4051773920969</v>
      </c>
    </row>
    <row r="48" spans="1:17">
      <c r="A48" s="12">
        <f t="shared" si="12"/>
        <v>9.75</v>
      </c>
      <c r="B48" s="13">
        <f t="shared" si="1"/>
        <v>3807.1373794712208</v>
      </c>
      <c r="C48" s="14">
        <f t="shared" si="2"/>
        <v>3.8071373794712207</v>
      </c>
      <c r="D48" s="13">
        <f t="shared" si="3"/>
        <v>2692.0526579328825</v>
      </c>
      <c r="E48" s="14">
        <f t="shared" si="4"/>
        <v>2.6920526579328827</v>
      </c>
      <c r="F48" s="1">
        <f t="shared" si="5"/>
        <v>9750000</v>
      </c>
      <c r="G48" s="1">
        <f t="shared" si="6"/>
        <v>30.747944410256409</v>
      </c>
      <c r="H48" s="1">
        <f t="shared" si="7"/>
        <v>2.1163449418289263E-5</v>
      </c>
      <c r="I48" s="1">
        <f t="shared" si="8"/>
        <v>3.7027818487810039E-2</v>
      </c>
      <c r="J48" s="1">
        <f t="shared" si="9"/>
        <v>2.1531287889441725E-2</v>
      </c>
      <c r="K48" s="1">
        <f t="shared" si="10"/>
        <v>5.8559106377251764E-2</v>
      </c>
      <c r="L48" s="1">
        <f t="shared" si="11"/>
        <v>2560.9792944624951</v>
      </c>
      <c r="O48">
        <f t="shared" si="0"/>
        <v>9.75</v>
      </c>
      <c r="P48">
        <f t="shared" si="13"/>
        <v>3807.1373794712208</v>
      </c>
      <c r="Q48">
        <f t="shared" si="14"/>
        <v>2692.0526579328825</v>
      </c>
    </row>
    <row r="49" spans="1:17">
      <c r="A49" s="12">
        <f t="shared" si="12"/>
        <v>10</v>
      </c>
      <c r="B49" s="13">
        <f t="shared" si="1"/>
        <v>3986.9939126100471</v>
      </c>
      <c r="C49" s="14">
        <f t="shared" si="2"/>
        <v>3.9869939126100471</v>
      </c>
      <c r="D49" s="13">
        <f t="shared" si="3"/>
        <v>2819.2304321560496</v>
      </c>
      <c r="E49" s="14">
        <f t="shared" si="4"/>
        <v>2.8192304321560497</v>
      </c>
      <c r="F49" s="1">
        <f t="shared" si="5"/>
        <v>10000000</v>
      </c>
      <c r="G49" s="1">
        <f t="shared" si="6"/>
        <v>29.979245800000001</v>
      </c>
      <c r="H49" s="1">
        <f t="shared" si="7"/>
        <v>2.0897231909955822E-5</v>
      </c>
      <c r="I49" s="1">
        <f t="shared" si="8"/>
        <v>3.7499529459833633E-2</v>
      </c>
      <c r="J49" s="1">
        <f t="shared" si="9"/>
        <v>2.3826022361050404E-2</v>
      </c>
      <c r="K49" s="1">
        <f t="shared" si="10"/>
        <v>6.1325551820884033E-2</v>
      </c>
      <c r="L49" s="1">
        <f t="shared" si="11"/>
        <v>2508.1553218258105</v>
      </c>
      <c r="O49">
        <f t="shared" si="0"/>
        <v>10</v>
      </c>
      <c r="P49">
        <f t="shared" si="13"/>
        <v>3986.9939126100471</v>
      </c>
      <c r="Q49">
        <f t="shared" si="14"/>
        <v>2819.2304321560496</v>
      </c>
    </row>
    <row r="50" spans="1:17">
      <c r="A50" s="12">
        <f t="shared" si="12"/>
        <v>10.25</v>
      </c>
      <c r="B50" s="13">
        <f t="shared" si="1"/>
        <v>4178.0882605928782</v>
      </c>
      <c r="C50" s="14">
        <f t="shared" si="2"/>
        <v>4.1780882605928786</v>
      </c>
      <c r="D50" s="13">
        <f t="shared" si="3"/>
        <v>2954.3545414611317</v>
      </c>
      <c r="E50" s="14">
        <f t="shared" si="4"/>
        <v>2.9543545414611319</v>
      </c>
      <c r="F50" s="1">
        <f t="shared" si="5"/>
        <v>10250000</v>
      </c>
      <c r="G50" s="1">
        <f t="shared" si="6"/>
        <v>29.248044682926828</v>
      </c>
      <c r="H50" s="1">
        <f t="shared" si="7"/>
        <v>2.0640814445513596E-5</v>
      </c>
      <c r="I50" s="1">
        <f t="shared" si="8"/>
        <v>3.7965379985608651E-2</v>
      </c>
      <c r="J50" s="1">
        <f t="shared" si="9"/>
        <v>2.6299470614446936E-2</v>
      </c>
      <c r="K50" s="1">
        <f t="shared" si="10"/>
        <v>6.4264850600055587E-2</v>
      </c>
      <c r="L50" s="1">
        <f t="shared" si="11"/>
        <v>2453.2751250557608</v>
      </c>
      <c r="O50">
        <f t="shared" si="0"/>
        <v>10.25</v>
      </c>
      <c r="P50">
        <f t="shared" si="13"/>
        <v>4178.0882605928782</v>
      </c>
      <c r="Q50">
        <f t="shared" si="14"/>
        <v>2954.3545414611317</v>
      </c>
    </row>
    <row r="51" spans="1:17">
      <c r="A51" s="12">
        <f t="shared" si="12"/>
        <v>10.5</v>
      </c>
      <c r="B51" s="13">
        <f t="shared" si="1"/>
        <v>4381.0224225443135</v>
      </c>
      <c r="C51" s="14">
        <f t="shared" si="2"/>
        <v>4.3810224225443131</v>
      </c>
      <c r="D51" s="13">
        <f t="shared" si="3"/>
        <v>3097.8506635114004</v>
      </c>
      <c r="E51" s="14">
        <f t="shared" si="4"/>
        <v>3.0978506635114003</v>
      </c>
      <c r="F51" s="1">
        <f t="shared" si="5"/>
        <v>10500000</v>
      </c>
      <c r="G51" s="1">
        <f t="shared" si="6"/>
        <v>28.551662666666665</v>
      </c>
      <c r="H51" s="1">
        <f t="shared" si="7"/>
        <v>2.0393610145348301E-5</v>
      </c>
      <c r="I51" s="1">
        <f t="shared" si="8"/>
        <v>3.842558321215668E-2</v>
      </c>
      <c r="J51" s="1">
        <f t="shared" si="9"/>
        <v>2.8960679092496531E-2</v>
      </c>
      <c r="K51" s="1">
        <f t="shared" si="10"/>
        <v>6.7386262304653208E-2</v>
      </c>
      <c r="L51" s="1">
        <f t="shared" si="11"/>
        <v>2396.7008125701491</v>
      </c>
      <c r="O51">
        <f t="shared" si="0"/>
        <v>10.5</v>
      </c>
      <c r="P51">
        <f t="shared" si="13"/>
        <v>4381.0224225443135</v>
      </c>
      <c r="Q51">
        <f t="shared" si="14"/>
        <v>3097.8506635114004</v>
      </c>
    </row>
    <row r="52" spans="1:17">
      <c r="A52" s="12">
        <f t="shared" si="12"/>
        <v>10.75</v>
      </c>
      <c r="B52" s="13">
        <f t="shared" si="1"/>
        <v>4596.4120994307295</v>
      </c>
      <c r="C52" s="14">
        <f t="shared" si="2"/>
        <v>4.5964120994307294</v>
      </c>
      <c r="D52" s="13">
        <f t="shared" si="3"/>
        <v>3250.1541646353644</v>
      </c>
      <c r="E52" s="14">
        <f t="shared" si="4"/>
        <v>3.2501541646353642</v>
      </c>
      <c r="F52" s="1">
        <f t="shared" si="5"/>
        <v>10750000</v>
      </c>
      <c r="G52" s="1">
        <f t="shared" si="6"/>
        <v>27.887670511627906</v>
      </c>
      <c r="H52" s="1">
        <f t="shared" si="7"/>
        <v>2.0155080183613373E-5</v>
      </c>
      <c r="I52" s="1">
        <f t="shared" si="8"/>
        <v>3.8880339671061262E-2</v>
      </c>
      <c r="J52" s="1">
        <f t="shared" si="9"/>
        <v>3.1818917607024017E-2</v>
      </c>
      <c r="K52" s="1">
        <f t="shared" si="10"/>
        <v>7.0699257278085278E-2</v>
      </c>
      <c r="L52" s="1">
        <f t="shared" si="11"/>
        <v>2338.7807201472206</v>
      </c>
      <c r="O52">
        <f t="shared" si="0"/>
        <v>10.75</v>
      </c>
      <c r="P52">
        <f t="shared" si="13"/>
        <v>4596.4120994307295</v>
      </c>
      <c r="Q52">
        <f t="shared" si="14"/>
        <v>3250.1541646353644</v>
      </c>
    </row>
    <row r="53" spans="1:17">
      <c r="A53" s="12">
        <f t="shared" si="12"/>
        <v>11</v>
      </c>
      <c r="B53" s="13">
        <f t="shared" si="1"/>
        <v>4824.8867604536317</v>
      </c>
      <c r="C53" s="14">
        <f t="shared" si="2"/>
        <v>4.8248867604536319</v>
      </c>
      <c r="D53" s="13">
        <f t="shared" si="3"/>
        <v>3411.7101467739567</v>
      </c>
      <c r="E53" s="14">
        <f t="shared" si="4"/>
        <v>3.4117101467739568</v>
      </c>
      <c r="F53" s="1">
        <f t="shared" si="5"/>
        <v>11000000</v>
      </c>
      <c r="G53" s="1">
        <f t="shared" si="6"/>
        <v>27.253859818181819</v>
      </c>
      <c r="H53" s="1">
        <f t="shared" si="7"/>
        <v>1.9924728844932091E-5</v>
      </c>
      <c r="I53" s="1">
        <f t="shared" si="8"/>
        <v>3.9329838299690778E-2</v>
      </c>
      <c r="J53" s="1">
        <f t="shared" si="9"/>
        <v>3.4883679338813901E-2</v>
      </c>
      <c r="K53" s="1">
        <f t="shared" si="10"/>
        <v>7.4213517638504672E-2</v>
      </c>
      <c r="L53" s="1">
        <f t="shared" si="11"/>
        <v>2279.8462525917994</v>
      </c>
      <c r="O53">
        <f t="shared" si="0"/>
        <v>11</v>
      </c>
      <c r="P53">
        <f t="shared" si="13"/>
        <v>4824.8867604536317</v>
      </c>
      <c r="Q53">
        <f t="shared" si="14"/>
        <v>3411.7101467739567</v>
      </c>
    </row>
    <row r="54" spans="1:17">
      <c r="A54" s="12">
        <f t="shared" si="12"/>
        <v>11.25</v>
      </c>
      <c r="B54" s="13">
        <f t="shared" si="1"/>
        <v>5067.0897026886469</v>
      </c>
      <c r="C54" s="14">
        <f t="shared" si="2"/>
        <v>5.067089702688647</v>
      </c>
      <c r="D54" s="13">
        <f t="shared" si="3"/>
        <v>3582.9734896516693</v>
      </c>
      <c r="E54" s="14">
        <f t="shared" si="4"/>
        <v>3.5829734896516694</v>
      </c>
      <c r="F54" s="1">
        <f t="shared" si="5"/>
        <v>11250000</v>
      </c>
      <c r="G54" s="1">
        <f t="shared" si="6"/>
        <v>26.64821848888889</v>
      </c>
      <c r="H54" s="1">
        <f t="shared" si="7"/>
        <v>1.9702099188743558E-5</v>
      </c>
      <c r="I54" s="1">
        <f t="shared" si="8"/>
        <v>3.9774257358529616E-2</v>
      </c>
      <c r="J54" s="1">
        <f t="shared" si="9"/>
        <v>3.8164680837610272E-2</v>
      </c>
      <c r="K54" s="1">
        <f t="shared" si="10"/>
        <v>7.7938938196139895E-2</v>
      </c>
      <c r="L54" s="1">
        <f t="shared" si="11"/>
        <v>2220.2093627887898</v>
      </c>
      <c r="O54">
        <f t="shared" si="0"/>
        <v>11.25</v>
      </c>
      <c r="P54">
        <f t="shared" si="13"/>
        <v>5067.0897026886469</v>
      </c>
      <c r="Q54">
        <f t="shared" si="14"/>
        <v>3582.9734896516693</v>
      </c>
    </row>
    <row r="55" spans="1:17">
      <c r="A55" s="12">
        <f t="shared" si="12"/>
        <v>11.5</v>
      </c>
      <c r="B55" s="13">
        <f t="shared" si="1"/>
        <v>5323.6781047914592</v>
      </c>
      <c r="C55" s="14">
        <f t="shared" si="2"/>
        <v>5.3236781047914592</v>
      </c>
      <c r="D55" s="13">
        <f t="shared" si="3"/>
        <v>3764.4088887523885</v>
      </c>
      <c r="E55" s="14">
        <f t="shared" si="4"/>
        <v>3.7644088887523885</v>
      </c>
      <c r="F55" s="1">
        <f t="shared" si="5"/>
        <v>11500000</v>
      </c>
      <c r="G55" s="1">
        <f t="shared" si="6"/>
        <v>26.068909391304349</v>
      </c>
      <c r="H55" s="1">
        <f t="shared" si="7"/>
        <v>1.9486769234946719E-5</v>
      </c>
      <c r="I55" s="1">
        <f t="shared" si="8"/>
        <v>4.0213765257250789E-2</v>
      </c>
      <c r="J55" s="1">
        <f t="shared" si="9"/>
        <v>4.1671862022116909E-2</v>
      </c>
      <c r="K55" s="1">
        <f t="shared" si="10"/>
        <v>8.1885627279367698E-2</v>
      </c>
      <c r="L55" s="1">
        <f t="shared" si="11"/>
        <v>2160.1606584082683</v>
      </c>
      <c r="O55">
        <f t="shared" si="0"/>
        <v>11.5</v>
      </c>
      <c r="P55">
        <f t="shared" si="13"/>
        <v>5323.6781047914592</v>
      </c>
      <c r="Q55">
        <f t="shared" si="14"/>
        <v>3764.4088887523885</v>
      </c>
    </row>
    <row r="56" spans="1:17">
      <c r="A56" s="12">
        <f t="shared" si="12"/>
        <v>11.75</v>
      </c>
      <c r="B56" s="13">
        <f t="shared" si="1"/>
        <v>5595.3230754765418</v>
      </c>
      <c r="C56" s="14">
        <f t="shared" si="2"/>
        <v>5.595323075476542</v>
      </c>
      <c r="D56" s="13">
        <f t="shared" si="3"/>
        <v>3956.4908895990316</v>
      </c>
      <c r="E56" s="14">
        <f t="shared" si="4"/>
        <v>3.9564908895990314</v>
      </c>
      <c r="F56" s="1">
        <f t="shared" si="5"/>
        <v>11750000</v>
      </c>
      <c r="G56" s="1">
        <f t="shared" si="6"/>
        <v>25.514251744680852</v>
      </c>
      <c r="H56" s="1">
        <f t="shared" si="7"/>
        <v>1.9278348598351307E-5</v>
      </c>
      <c r="I56" s="1">
        <f t="shared" si="8"/>
        <v>4.0648521300386729E-2</v>
      </c>
      <c r="J56" s="1">
        <f t="shared" si="9"/>
        <v>4.5415386179997172E-2</v>
      </c>
      <c r="K56" s="1">
        <f t="shared" si="10"/>
        <v>8.6063907480383894E-2</v>
      </c>
      <c r="L56" s="1">
        <f t="shared" si="11"/>
        <v>2099.9681057736379</v>
      </c>
      <c r="O56">
        <f t="shared" si="0"/>
        <v>11.75</v>
      </c>
      <c r="P56">
        <f t="shared" si="13"/>
        <v>5595.3230754765418</v>
      </c>
      <c r="Q56">
        <f t="shared" si="14"/>
        <v>3956.4908895990316</v>
      </c>
    </row>
    <row r="57" spans="1:17">
      <c r="A57" s="12">
        <f t="shared" si="12"/>
        <v>12</v>
      </c>
      <c r="B57" s="13">
        <f t="shared" si="1"/>
        <v>5882.7096973773832</v>
      </c>
      <c r="C57" s="14">
        <f t="shared" si="2"/>
        <v>5.8827096973773836</v>
      </c>
      <c r="D57" s="13">
        <f t="shared" si="3"/>
        <v>4159.7039187674109</v>
      </c>
      <c r="E57" s="14">
        <f t="shared" si="4"/>
        <v>4.159703918767411</v>
      </c>
      <c r="F57" s="1">
        <f t="shared" si="5"/>
        <v>12000000</v>
      </c>
      <c r="G57" s="1">
        <f t="shared" si="6"/>
        <v>24.982704833333333</v>
      </c>
      <c r="H57" s="1">
        <f t="shared" si="7"/>
        <v>1.9076475510832619E-5</v>
      </c>
      <c r="I57" s="1">
        <f t="shared" si="8"/>
        <v>4.1078676361960789E-2</v>
      </c>
      <c r="J57" s="1">
        <f t="shared" si="9"/>
        <v>4.9405639967874136E-2</v>
      </c>
      <c r="K57" s="1">
        <f t="shared" si="10"/>
        <v>9.0484316329834918E-2</v>
      </c>
      <c r="L57" s="1">
        <f t="shared" si="11"/>
        <v>2039.8762844526925</v>
      </c>
      <c r="O57">
        <f t="shared" si="0"/>
        <v>12</v>
      </c>
      <c r="P57">
        <f t="shared" si="13"/>
        <v>5882.7096973773832</v>
      </c>
      <c r="Q57">
        <f t="shared" si="14"/>
        <v>4159.7039187674109</v>
      </c>
    </row>
    <row r="58" spans="1:17">
      <c r="A58" s="12">
        <f t="shared" si="12"/>
        <v>12.25</v>
      </c>
      <c r="B58" s="13">
        <f t="shared" si="1"/>
        <v>6186.5370668148125</v>
      </c>
      <c r="C58" s="14">
        <f t="shared" si="2"/>
        <v>6.1865370668148127</v>
      </c>
      <c r="D58" s="13">
        <f t="shared" si="3"/>
        <v>4374.5423120066871</v>
      </c>
      <c r="E58" s="14">
        <f t="shared" si="4"/>
        <v>4.3745423120066871</v>
      </c>
      <c r="F58" s="1">
        <f t="shared" si="5"/>
        <v>12250000</v>
      </c>
      <c r="G58" s="1">
        <f t="shared" si="6"/>
        <v>24.472853714285716</v>
      </c>
      <c r="H58" s="1">
        <f t="shared" si="7"/>
        <v>1.8880814179488882E-5</v>
      </c>
      <c r="I58" s="1">
        <f t="shared" si="8"/>
        <v>4.1504373497180266E-2</v>
      </c>
      <c r="J58" s="1">
        <f t="shared" si="9"/>
        <v>5.3653233411330353E-2</v>
      </c>
      <c r="K58" s="1">
        <f t="shared" si="10"/>
        <v>9.515760690851062E-2</v>
      </c>
      <c r="L58" s="1">
        <f t="shared" si="11"/>
        <v>1980.1061349345491</v>
      </c>
      <c r="O58">
        <f t="shared" si="0"/>
        <v>12.25</v>
      </c>
      <c r="P58">
        <f t="shared" si="13"/>
        <v>6186.5370668148125</v>
      </c>
      <c r="Q58">
        <f t="shared" si="14"/>
        <v>4374.5423120066871</v>
      </c>
    </row>
    <row r="59" spans="1:17">
      <c r="A59" s="12">
        <f t="shared" si="12"/>
        <v>12.5</v>
      </c>
      <c r="B59" s="13">
        <f t="shared" si="1"/>
        <v>6507.5183299306436</v>
      </c>
      <c r="C59" s="14">
        <f t="shared" si="2"/>
        <v>6.5075183299306438</v>
      </c>
      <c r="D59" s="13">
        <f t="shared" si="3"/>
        <v>4601.5103397897155</v>
      </c>
      <c r="E59" s="14">
        <f t="shared" si="4"/>
        <v>4.6015103397897157</v>
      </c>
      <c r="F59" s="1">
        <f t="shared" si="5"/>
        <v>12500000</v>
      </c>
      <c r="G59" s="1">
        <f t="shared" si="6"/>
        <v>23.983396639999999</v>
      </c>
      <c r="H59" s="1">
        <f t="shared" si="7"/>
        <v>1.8691052436895593E-5</v>
      </c>
      <c r="I59" s="1">
        <f t="shared" si="8"/>
        <v>4.1925748498221983E-2</v>
      </c>
      <c r="J59" s="1">
        <f t="shared" si="9"/>
        <v>5.8168999904908217E-2</v>
      </c>
      <c r="K59" s="1">
        <f t="shared" si="10"/>
        <v>0.10009474840313021</v>
      </c>
      <c r="L59" s="1">
        <f t="shared" si="11"/>
        <v>1920.8551349763502</v>
      </c>
      <c r="O59">
        <f t="shared" si="0"/>
        <v>12.5</v>
      </c>
      <c r="P59">
        <f t="shared" si="13"/>
        <v>6507.5183299306436</v>
      </c>
      <c r="Q59">
        <f t="shared" si="14"/>
        <v>4601.5103397897155</v>
      </c>
    </row>
    <row r="60" spans="1:17">
      <c r="A60" s="12">
        <f t="shared" si="12"/>
        <v>12.75</v>
      </c>
      <c r="B60" s="13">
        <f t="shared" si="1"/>
        <v>6846.380715584507</v>
      </c>
      <c r="C60" s="14">
        <f t="shared" si="2"/>
        <v>6.8463807155845071</v>
      </c>
      <c r="D60" s="13">
        <f t="shared" si="3"/>
        <v>4841.1222305746132</v>
      </c>
      <c r="E60" s="14">
        <f t="shared" si="4"/>
        <v>4.8411222305746131</v>
      </c>
      <c r="F60" s="1">
        <f t="shared" si="5"/>
        <v>12750000</v>
      </c>
      <c r="G60" s="1">
        <f t="shared" si="6"/>
        <v>23.513133960784312</v>
      </c>
      <c r="H60" s="1">
        <f t="shared" si="7"/>
        <v>1.8506899646040351E-5</v>
      </c>
      <c r="I60" s="1">
        <f t="shared" si="8"/>
        <v>4.2342930400231946E-2</v>
      </c>
      <c r="J60" s="1">
        <f t="shared" si="9"/>
        <v>6.2963996212109616E-2</v>
      </c>
      <c r="K60" s="1">
        <f t="shared" si="10"/>
        <v>0.10530692661234156</v>
      </c>
      <c r="L60" s="1">
        <f t="shared" si="11"/>
        <v>1862.297837305046</v>
      </c>
      <c r="O60">
        <f t="shared" si="0"/>
        <v>12.75</v>
      </c>
      <c r="P60">
        <f t="shared" si="13"/>
        <v>6846.380715584507</v>
      </c>
      <c r="Q60">
        <f t="shared" si="14"/>
        <v>4841.1222305746132</v>
      </c>
    </row>
    <row r="61" spans="1:17">
      <c r="A61" s="12">
        <f t="shared" si="12"/>
        <v>13</v>
      </c>
      <c r="B61" s="13">
        <f t="shared" si="1"/>
        <v>7203.8655653614023</v>
      </c>
      <c r="C61" s="14">
        <f t="shared" si="2"/>
        <v>7.2038655653614025</v>
      </c>
      <c r="D61" s="13">
        <f t="shared" si="3"/>
        <v>5093.9021920233099</v>
      </c>
      <c r="E61" s="14">
        <f t="shared" si="4"/>
        <v>5.0939021920233101</v>
      </c>
      <c r="F61" s="1">
        <f t="shared" si="5"/>
        <v>13000000</v>
      </c>
      <c r="G61" s="1">
        <f t="shared" si="6"/>
        <v>23.060958307692307</v>
      </c>
      <c r="H61" s="1">
        <f t="shared" si="7"/>
        <v>1.8328084827945501E-5</v>
      </c>
      <c r="I61" s="1">
        <f t="shared" si="8"/>
        <v>4.2756041942883453E-2</v>
      </c>
      <c r="J61" s="1">
        <f t="shared" si="9"/>
        <v>6.8049502465396081E-2</v>
      </c>
      <c r="K61" s="1">
        <f t="shared" si="10"/>
        <v>0.11080554440827953</v>
      </c>
      <c r="L61" s="1">
        <f t="shared" si="11"/>
        <v>1804.5867016880982</v>
      </c>
      <c r="O61">
        <f t="shared" si="0"/>
        <v>13</v>
      </c>
      <c r="P61">
        <f t="shared" si="13"/>
        <v>7203.8655653614023</v>
      </c>
      <c r="Q61">
        <f t="shared" si="14"/>
        <v>5093.9021920233099</v>
      </c>
    </row>
    <row r="62" spans="1:17">
      <c r="A62" s="12">
        <f t="shared" si="12"/>
        <v>13.25</v>
      </c>
      <c r="B62" s="13">
        <f t="shared" si="1"/>
        <v>7580.7283609941942</v>
      </c>
      <c r="C62" s="14">
        <f t="shared" si="2"/>
        <v>7.5807283609941942</v>
      </c>
      <c r="D62" s="13">
        <f t="shared" si="3"/>
        <v>5360.3844303921769</v>
      </c>
      <c r="E62" s="14">
        <f t="shared" si="4"/>
        <v>5.3603844303921768</v>
      </c>
      <c r="F62" s="1">
        <f t="shared" si="5"/>
        <v>13250000</v>
      </c>
      <c r="G62" s="1">
        <f t="shared" si="6"/>
        <v>22.625845886792455</v>
      </c>
      <c r="H62" s="1">
        <f t="shared" si="7"/>
        <v>1.8154354984534981E-5</v>
      </c>
      <c r="I62" s="1">
        <f t="shared" si="8"/>
        <v>4.316519999217347E-2</v>
      </c>
      <c r="J62" s="1">
        <f t="shared" si="9"/>
        <v>7.343702216618879E-2</v>
      </c>
      <c r="K62" s="1">
        <f t="shared" si="10"/>
        <v>0.11660222215836226</v>
      </c>
      <c r="L62" s="1">
        <f t="shared" si="11"/>
        <v>1747.8531572475833</v>
      </c>
      <c r="O62">
        <f t="shared" si="0"/>
        <v>13.25</v>
      </c>
      <c r="P62">
        <f t="shared" si="13"/>
        <v>7580.7283609941942</v>
      </c>
      <c r="Q62">
        <f t="shared" si="14"/>
        <v>5360.3844303921769</v>
      </c>
    </row>
    <row r="63" spans="1:17">
      <c r="A63" s="12">
        <f t="shared" si="12"/>
        <v>13.5</v>
      </c>
      <c r="B63" s="13">
        <f t="shared" si="1"/>
        <v>7977.7387494681116</v>
      </c>
      <c r="C63" s="14">
        <f t="shared" si="2"/>
        <v>7.9777387494681111</v>
      </c>
      <c r="D63" s="13">
        <f t="shared" si="3"/>
        <v>5641.1131682835894</v>
      </c>
      <c r="E63" s="14">
        <f t="shared" si="4"/>
        <v>5.6411131682835896</v>
      </c>
      <c r="F63" s="1">
        <f t="shared" si="5"/>
        <v>13500000</v>
      </c>
      <c r="G63" s="1">
        <f t="shared" si="6"/>
        <v>22.206848740740742</v>
      </c>
      <c r="H63" s="1">
        <f t="shared" si="7"/>
        <v>1.7985473593131801E-5</v>
      </c>
      <c r="I63" s="1">
        <f t="shared" si="8"/>
        <v>4.3570515926565023E-2</v>
      </c>
      <c r="J63" s="1">
        <f t="shared" si="9"/>
        <v>7.9138282184868639E-2</v>
      </c>
      <c r="K63" s="1">
        <f t="shared" si="10"/>
        <v>0.12270879811143366</v>
      </c>
      <c r="L63" s="1">
        <f t="shared" si="11"/>
        <v>1692.2088356052104</v>
      </c>
      <c r="O63">
        <f t="shared" si="0"/>
        <v>13.5</v>
      </c>
      <c r="P63">
        <f t="shared" si="13"/>
        <v>7977.7387494681116</v>
      </c>
      <c r="Q63">
        <f t="shared" si="14"/>
        <v>5641.1131682835894</v>
      </c>
    </row>
    <row r="64" spans="1:17">
      <c r="A64" s="12">
        <f t="shared" si="12"/>
        <v>13.75</v>
      </c>
      <c r="B64" s="13">
        <f t="shared" si="1"/>
        <v>8395.6805660423506</v>
      </c>
      <c r="C64" s="14">
        <f t="shared" si="2"/>
        <v>8.3956805660423512</v>
      </c>
      <c r="D64" s="13">
        <f t="shared" si="3"/>
        <v>5936.6426609246582</v>
      </c>
      <c r="E64" s="14">
        <f t="shared" si="4"/>
        <v>5.9366426609246581</v>
      </c>
      <c r="F64" s="1">
        <f t="shared" si="5"/>
        <v>13750000</v>
      </c>
      <c r="G64" s="1">
        <f t="shared" si="6"/>
        <v>21.803087854545456</v>
      </c>
      <c r="H64" s="1">
        <f t="shared" si="7"/>
        <v>1.7821219252207607E-5</v>
      </c>
      <c r="I64" s="1">
        <f t="shared" si="8"/>
        <v>4.397209599109167E-2</v>
      </c>
      <c r="J64" s="1">
        <f t="shared" si="9"/>
        <v>8.5165232760776088E-2</v>
      </c>
      <c r="K64" s="1">
        <f t="shared" si="10"/>
        <v>0.12913732875186776</v>
      </c>
      <c r="L64" s="1">
        <f t="shared" si="11"/>
        <v>1637.746921388843</v>
      </c>
      <c r="O64">
        <f t="shared" si="0"/>
        <v>13.75</v>
      </c>
      <c r="P64">
        <f t="shared" si="13"/>
        <v>8395.6805660423506</v>
      </c>
      <c r="Q64">
        <f t="shared" si="14"/>
        <v>5936.6426609246582</v>
      </c>
    </row>
    <row r="65" spans="1:17">
      <c r="A65" s="12">
        <f t="shared" si="12"/>
        <v>14</v>
      </c>
      <c r="B65" s="13">
        <f t="shared" si="1"/>
        <v>8835.3518553961621</v>
      </c>
      <c r="C65" s="14">
        <f t="shared" si="2"/>
        <v>8.8353518553961621</v>
      </c>
      <c r="D65" s="13">
        <f t="shared" si="3"/>
        <v>6247.5372111197712</v>
      </c>
      <c r="E65" s="14">
        <f t="shared" si="4"/>
        <v>6.2475372111197709</v>
      </c>
      <c r="F65" s="1">
        <f t="shared" si="5"/>
        <v>14000000</v>
      </c>
      <c r="G65" s="1">
        <f t="shared" si="6"/>
        <v>21.413747000000001</v>
      </c>
      <c r="H65" s="1">
        <f t="shared" si="7"/>
        <v>1.7661384460747688E-5</v>
      </c>
      <c r="I65" s="1">
        <f t="shared" si="8"/>
        <v>4.437004162261405E-2</v>
      </c>
      <c r="J65" s="1">
        <f t="shared" si="9"/>
        <v>9.153004750221122E-2</v>
      </c>
      <c r="K65" s="1">
        <f t="shared" si="10"/>
        <v>0.13590008912482526</v>
      </c>
      <c r="L65" s="1">
        <f t="shared" si="11"/>
        <v>1584.5435732646624</v>
      </c>
      <c r="O65">
        <f t="shared" si="0"/>
        <v>14</v>
      </c>
      <c r="P65">
        <f t="shared" si="13"/>
        <v>8835.3518553961621</v>
      </c>
      <c r="Q65">
        <f t="shared" si="14"/>
        <v>6247.5372111197712</v>
      </c>
    </row>
    <row r="66" spans="1:17">
      <c r="A66" s="12">
        <f t="shared" si="12"/>
        <v>14.25</v>
      </c>
      <c r="B66" s="13">
        <f t="shared" si="1"/>
        <v>9297.5648910828822</v>
      </c>
      <c r="C66" s="14">
        <f t="shared" si="2"/>
        <v>9.2975648910828816</v>
      </c>
      <c r="D66" s="13">
        <f t="shared" si="3"/>
        <v>6574.3711830066704</v>
      </c>
      <c r="E66" s="14">
        <f t="shared" si="4"/>
        <v>6.5743711830066704</v>
      </c>
      <c r="F66" s="1">
        <f t="shared" si="5"/>
        <v>14250000</v>
      </c>
      <c r="G66" s="1">
        <f t="shared" si="6"/>
        <v>21.038067228070176</v>
      </c>
      <c r="H66" s="1">
        <f t="shared" si="7"/>
        <v>1.7505774515925857E-5</v>
      </c>
      <c r="I66" s="1">
        <f t="shared" si="8"/>
        <v>4.4764449749050042E-2</v>
      </c>
      <c r="J66" s="1">
        <f t="shared" si="9"/>
        <v>9.8245123386433764E-2</v>
      </c>
      <c r="K66" s="1">
        <f t="shared" si="10"/>
        <v>0.14300957313548379</v>
      </c>
      <c r="L66" s="1">
        <f t="shared" si="11"/>
        <v>1532.6593755389547</v>
      </c>
      <c r="O66">
        <f t="shared" si="0"/>
        <v>14.25</v>
      </c>
      <c r="P66">
        <f t="shared" si="13"/>
        <v>9297.5648910828822</v>
      </c>
      <c r="Q66">
        <f t="shared" si="14"/>
        <v>6574.3711830066704</v>
      </c>
    </row>
    <row r="67" spans="1:17">
      <c r="A67" s="12">
        <f t="shared" si="12"/>
        <v>14.5</v>
      </c>
      <c r="B67" s="13">
        <f t="shared" si="1"/>
        <v>9783.1461934544841</v>
      </c>
      <c r="C67" s="14">
        <f t="shared" si="2"/>
        <v>9.7831461934544848</v>
      </c>
      <c r="D67" s="13">
        <f t="shared" si="3"/>
        <v>6917.7290147310259</v>
      </c>
      <c r="E67" s="14">
        <f t="shared" si="4"/>
        <v>6.9177290147310257</v>
      </c>
      <c r="F67" s="1">
        <f t="shared" si="5"/>
        <v>14500000</v>
      </c>
      <c r="G67" s="1">
        <f t="shared" si="6"/>
        <v>20.675341931034481</v>
      </c>
      <c r="H67" s="1">
        <f t="shared" si="7"/>
        <v>1.7354206515771681E-5</v>
      </c>
      <c r="I67" s="1">
        <f t="shared" si="8"/>
        <v>4.5155413065079475E-2</v>
      </c>
      <c r="J67" s="1">
        <f t="shared" si="9"/>
        <v>0.10532308075966311</v>
      </c>
      <c r="K67" s="1">
        <f t="shared" si="10"/>
        <v>0.1504784938247426</v>
      </c>
      <c r="L67" s="1">
        <f t="shared" si="11"/>
        <v>1482.1407871530507</v>
      </c>
      <c r="O67">
        <f t="shared" si="0"/>
        <v>14.5</v>
      </c>
      <c r="P67">
        <f t="shared" si="13"/>
        <v>9783.1461934544841</v>
      </c>
      <c r="Q67">
        <f t="shared" si="14"/>
        <v>6917.7290147310259</v>
      </c>
    </row>
    <row r="68" spans="1:17">
      <c r="A68" s="12">
        <f t="shared" si="12"/>
        <v>14.75</v>
      </c>
      <c r="B68" s="13">
        <f t="shared" si="1"/>
        <v>10292.936546201101</v>
      </c>
      <c r="C68" s="14">
        <f t="shared" si="2"/>
        <v>10.292936546201101</v>
      </c>
      <c r="D68" s="13">
        <f t="shared" si="3"/>
        <v>7278.2052301416406</v>
      </c>
      <c r="E68" s="14">
        <f t="shared" si="4"/>
        <v>7.2782052301416407</v>
      </c>
      <c r="F68" s="1">
        <f t="shared" si="5"/>
        <v>14750000</v>
      </c>
      <c r="G68" s="1">
        <f t="shared" si="6"/>
        <v>20.32491240677966</v>
      </c>
      <c r="H68" s="1">
        <f t="shared" si="7"/>
        <v>1.7206508455212684E-5</v>
      </c>
      <c r="I68" s="1">
        <f t="shared" si="8"/>
        <v>4.5543020286545263E-2</v>
      </c>
      <c r="J68" s="1">
        <f t="shared" si="9"/>
        <v>0.1127767633370782</v>
      </c>
      <c r="K68" s="1">
        <f t="shared" si="10"/>
        <v>0.15831978362362348</v>
      </c>
      <c r="L68" s="1">
        <f t="shared" si="11"/>
        <v>1433.0215613195346</v>
      </c>
      <c r="O68">
        <f t="shared" si="0"/>
        <v>14.75</v>
      </c>
      <c r="P68">
        <f t="shared" si="13"/>
        <v>10292.936546201101</v>
      </c>
      <c r="Q68">
        <f t="shared" si="14"/>
        <v>7278.2052301416406</v>
      </c>
    </row>
    <row r="69" spans="1:17">
      <c r="A69" s="12">
        <f t="shared" si="12"/>
        <v>15</v>
      </c>
      <c r="B69" s="13">
        <f t="shared" si="1"/>
        <v>10827.791011634148</v>
      </c>
      <c r="C69" s="14">
        <f t="shared" si="2"/>
        <v>10.827791011634147</v>
      </c>
      <c r="D69" s="13">
        <f t="shared" si="3"/>
        <v>7656.4044495972539</v>
      </c>
      <c r="E69" s="14">
        <f t="shared" si="4"/>
        <v>7.6564044495972539</v>
      </c>
      <c r="F69" s="1">
        <f t="shared" si="5"/>
        <v>15000000</v>
      </c>
      <c r="G69" s="1">
        <f t="shared" si="6"/>
        <v>19.986163866666665</v>
      </c>
      <c r="H69" s="1">
        <f t="shared" si="7"/>
        <v>1.7062518405332703E-5</v>
      </c>
      <c r="I69" s="1">
        <f t="shared" si="8"/>
        <v>4.5927356385529049E-2</v>
      </c>
      <c r="J69" s="1">
        <f t="shared" si="9"/>
        <v>0.12061923820281775</v>
      </c>
      <c r="K69" s="1">
        <f t="shared" si="10"/>
        <v>0.16654659458834681</v>
      </c>
      <c r="L69" s="1">
        <f t="shared" si="11"/>
        <v>1385.3241149448613</v>
      </c>
      <c r="O69">
        <f t="shared" si="0"/>
        <v>15</v>
      </c>
      <c r="P69">
        <f t="shared" si="13"/>
        <v>10827.791011634148</v>
      </c>
      <c r="Q69">
        <f t="shared" si="14"/>
        <v>7656.4044495972539</v>
      </c>
    </row>
    <row r="70" spans="1:17">
      <c r="A70" s="12">
        <f t="shared" si="12"/>
        <v>15.25</v>
      </c>
      <c r="B70" s="13">
        <f t="shared" si="1"/>
        <v>11388.578944827706</v>
      </c>
      <c r="C70" s="14">
        <f t="shared" si="2"/>
        <v>11.388578944827707</v>
      </c>
      <c r="D70" s="13">
        <f t="shared" si="3"/>
        <v>8052.9413999660082</v>
      </c>
      <c r="E70" s="14">
        <f t="shared" si="4"/>
        <v>8.0529413999660076</v>
      </c>
      <c r="F70" s="1">
        <f t="shared" si="5"/>
        <v>15250000</v>
      </c>
      <c r="G70" s="1">
        <f t="shared" si="6"/>
        <v>19.658521836065574</v>
      </c>
      <c r="H70" s="1">
        <f t="shared" si="7"/>
        <v>1.6922083766941766E-5</v>
      </c>
      <c r="I70" s="1">
        <f t="shared" si="8"/>
        <v>4.6308502807865845E-2</v>
      </c>
      <c r="J70" s="1">
        <f t="shared" si="9"/>
        <v>0.12886379580997986</v>
      </c>
      <c r="K70" s="1">
        <f t="shared" si="10"/>
        <v>0.17517229861784572</v>
      </c>
      <c r="L70" s="1">
        <f t="shared" si="11"/>
        <v>1339.0608322494893</v>
      </c>
      <c r="O70">
        <f t="shared" si="0"/>
        <v>15.25</v>
      </c>
      <c r="P70">
        <f t="shared" si="13"/>
        <v>11388.578944827706</v>
      </c>
      <c r="Q70">
        <f t="shared" si="14"/>
        <v>8052.9413999660082</v>
      </c>
    </row>
    <row r="71" spans="1:17">
      <c r="A71" s="12">
        <f t="shared" si="12"/>
        <v>15.5</v>
      </c>
      <c r="B71" s="13">
        <f t="shared" si="1"/>
        <v>11976.184006720818</v>
      </c>
      <c r="C71" s="14">
        <f t="shared" si="2"/>
        <v>11.976184006720818</v>
      </c>
      <c r="D71" s="13">
        <f t="shared" si="3"/>
        <v>8468.4409238901681</v>
      </c>
      <c r="E71" s="14">
        <f t="shared" si="4"/>
        <v>8.4684409238901672</v>
      </c>
      <c r="F71" s="1">
        <f t="shared" si="5"/>
        <v>15500000</v>
      </c>
      <c r="G71" s="1">
        <f t="shared" si="6"/>
        <v>19.341448903225807</v>
      </c>
      <c r="H71" s="1">
        <f t="shared" si="7"/>
        <v>1.67850605906346E-5</v>
      </c>
      <c r="I71" s="1">
        <f t="shared" si="8"/>
        <v>4.6686537674674941E-2</v>
      </c>
      <c r="J71" s="1">
        <f t="shared" si="9"/>
        <v>0.13752394998062273</v>
      </c>
      <c r="K71" s="1">
        <f t="shared" si="10"/>
        <v>0.18421048765529768</v>
      </c>
      <c r="L71" s="1">
        <f t="shared" si="11"/>
        <v>1294.2352915838367</v>
      </c>
      <c r="O71">
        <f t="shared" si="0"/>
        <v>15.5</v>
      </c>
      <c r="P71">
        <f t="shared" si="13"/>
        <v>11976.184006720818</v>
      </c>
      <c r="Q71">
        <f t="shared" si="14"/>
        <v>8468.4409238901681</v>
      </c>
    </row>
    <row r="72" spans="1:17">
      <c r="A72" s="12">
        <f t="shared" si="12"/>
        <v>15.75</v>
      </c>
      <c r="B72" s="13">
        <f t="shared" si="1"/>
        <v>12591.504176272336</v>
      </c>
      <c r="C72" s="14">
        <f t="shared" si="2"/>
        <v>12.591504176272336</v>
      </c>
      <c r="D72" s="13">
        <f t="shared" si="3"/>
        <v>8903.5379883809019</v>
      </c>
      <c r="E72" s="14">
        <f t="shared" si="4"/>
        <v>8.9035379883809025</v>
      </c>
      <c r="F72" s="1">
        <f t="shared" si="5"/>
        <v>15750000</v>
      </c>
      <c r="G72" s="1">
        <f t="shared" si="6"/>
        <v>19.034441777777779</v>
      </c>
      <c r="H72" s="1">
        <f t="shared" si="7"/>
        <v>1.6651312956449875E-5</v>
      </c>
      <c r="I72" s="1">
        <f t="shared" si="8"/>
        <v>4.7061535969319633E-2</v>
      </c>
      <c r="J72" s="1">
        <f t="shared" si="9"/>
        <v>0.14661343790576359</v>
      </c>
      <c r="K72" s="1">
        <f t="shared" si="10"/>
        <v>0.19367497387508323</v>
      </c>
      <c r="L72" s="1">
        <f t="shared" si="11"/>
        <v>1250.8434083419193</v>
      </c>
      <c r="O72">
        <f t="shared" si="0"/>
        <v>15.75</v>
      </c>
      <c r="P72">
        <f t="shared" si="13"/>
        <v>12591.504176272336</v>
      </c>
      <c r="Q72">
        <f t="shared" si="14"/>
        <v>8903.5379883809019</v>
      </c>
    </row>
    <row r="73" spans="1:17">
      <c r="A73" s="12">
        <f t="shared" si="12"/>
        <v>16</v>
      </c>
      <c r="B73" s="13">
        <f t="shared" si="1"/>
        <v>13235.45176175099</v>
      </c>
      <c r="C73" s="14">
        <f t="shared" si="2"/>
        <v>13.235451761750991</v>
      </c>
      <c r="D73" s="13">
        <f t="shared" si="3"/>
        <v>9358.8776928015632</v>
      </c>
      <c r="E73" s="14">
        <f t="shared" si="4"/>
        <v>9.3588776928015633</v>
      </c>
      <c r="F73" s="1">
        <f t="shared" si="5"/>
        <v>16000000</v>
      </c>
      <c r="G73" s="1">
        <f t="shared" si="6"/>
        <v>18.737028625000001</v>
      </c>
      <c r="H73" s="1">
        <f t="shared" si="7"/>
        <v>1.6520712407052771E-5</v>
      </c>
      <c r="I73" s="1">
        <f t="shared" si="8"/>
        <v>4.7433569711063168E-2</v>
      </c>
      <c r="J73" s="1">
        <f t="shared" si="9"/>
        <v>0.1561462201453799</v>
      </c>
      <c r="K73" s="1">
        <f t="shared" si="10"/>
        <v>0.20357978985644307</v>
      </c>
      <c r="L73" s="1">
        <f t="shared" si="11"/>
        <v>1208.8744901204093</v>
      </c>
      <c r="O73">
        <f t="shared" si="0"/>
        <v>16</v>
      </c>
      <c r="P73">
        <f t="shared" si="13"/>
        <v>13235.45176175099</v>
      </c>
      <c r="Q73">
        <f t="shared" si="14"/>
        <v>9358.8776928015632</v>
      </c>
    </row>
    <row r="74" spans="1:17">
      <c r="A74" s="12">
        <f t="shared" si="12"/>
        <v>16.25</v>
      </c>
      <c r="B74" s="13">
        <f t="shared" si="1"/>
        <v>13908.953411234452</v>
      </c>
      <c r="C74" s="14">
        <f t="shared" si="2"/>
        <v>13.908953411234451</v>
      </c>
      <c r="D74" s="13">
        <f t="shared" si="3"/>
        <v>9835.1152762916445</v>
      </c>
      <c r="E74" s="14">
        <f t="shared" si="4"/>
        <v>9.8351152762916438</v>
      </c>
      <c r="F74" s="1">
        <f t="shared" si="5"/>
        <v>16250000</v>
      </c>
      <c r="G74" s="1">
        <f t="shared" si="6"/>
        <v>18.448766646153846</v>
      </c>
      <c r="H74" s="1">
        <f t="shared" si="7"/>
        <v>1.6393137429067472E-5</v>
      </c>
      <c r="I74" s="1">
        <f t="shared" si="8"/>
        <v>4.7802708116559796E-2</v>
      </c>
      <c r="J74" s="1">
        <f t="shared" si="9"/>
        <v>0.16613648062840838</v>
      </c>
      <c r="K74" s="1">
        <f t="shared" si="10"/>
        <v>0.21393918874496817</v>
      </c>
      <c r="L74" s="1">
        <f t="shared" si="11"/>
        <v>1168.3122029062699</v>
      </c>
      <c r="O74">
        <f t="shared" si="0"/>
        <v>16.25</v>
      </c>
      <c r="P74">
        <f t="shared" si="13"/>
        <v>13908.953411234452</v>
      </c>
      <c r="Q74">
        <f t="shared" si="14"/>
        <v>9835.1152762916445</v>
      </c>
    </row>
    <row r="75" spans="1:17">
      <c r="A75" s="12">
        <f t="shared" si="12"/>
        <v>16.5</v>
      </c>
      <c r="B75" s="13">
        <f t="shared" si="1"/>
        <v>14612.950122384269</v>
      </c>
      <c r="C75" s="14">
        <f t="shared" si="2"/>
        <v>14.612950122384269</v>
      </c>
      <c r="D75" s="13">
        <f t="shared" si="3"/>
        <v>10332.916124678706</v>
      </c>
      <c r="E75" s="14">
        <f t="shared" si="4"/>
        <v>10.332916124678706</v>
      </c>
      <c r="F75" s="1">
        <f t="shared" si="5"/>
        <v>16500000</v>
      </c>
      <c r="G75" s="1">
        <f t="shared" si="6"/>
        <v>18.169239878787877</v>
      </c>
      <c r="H75" s="1">
        <f t="shared" si="7"/>
        <v>1.6268472977799092E-5</v>
      </c>
      <c r="I75" s="1">
        <f t="shared" si="8"/>
        <v>4.8169017750206787E-2</v>
      </c>
      <c r="J75" s="1">
        <f t="shared" si="9"/>
        <v>0.17659862665274539</v>
      </c>
      <c r="K75" s="1">
        <f t="shared" si="10"/>
        <v>0.22476764440295219</v>
      </c>
      <c r="L75" s="1">
        <f t="shared" si="11"/>
        <v>1129.1354491606132</v>
      </c>
      <c r="O75">
        <f t="shared" si="0"/>
        <v>16.5</v>
      </c>
      <c r="P75">
        <f t="shared" si="13"/>
        <v>14612.950122384269</v>
      </c>
      <c r="Q75">
        <f t="shared" si="14"/>
        <v>10332.916124678706</v>
      </c>
    </row>
    <row r="76" spans="1:17">
      <c r="A76" s="12">
        <f t="shared" si="12"/>
        <v>16.75</v>
      </c>
      <c r="B76" s="13">
        <f t="shared" si="1"/>
        <v>15348.397251556729</v>
      </c>
      <c r="C76" s="14">
        <f t="shared" si="2"/>
        <v>15.34839725155673</v>
      </c>
      <c r="D76" s="13">
        <f t="shared" si="3"/>
        <v>10852.955776920733</v>
      </c>
      <c r="E76" s="14">
        <f t="shared" si="4"/>
        <v>10.852955776920734</v>
      </c>
      <c r="F76" s="1">
        <f t="shared" si="5"/>
        <v>16750000</v>
      </c>
      <c r="G76" s="1">
        <f t="shared" si="6"/>
        <v>17.89805719402985</v>
      </c>
      <c r="H76" s="1">
        <f t="shared" si="7"/>
        <v>1.6146610041119641E-5</v>
      </c>
      <c r="I76" s="1">
        <f t="shared" si="8"/>
        <v>4.8532562664281992E-2</v>
      </c>
      <c r="J76" s="1">
        <f t="shared" si="9"/>
        <v>0.1875472888852471</v>
      </c>
      <c r="K76" s="1">
        <f t="shared" si="10"/>
        <v>0.2360798515495291</v>
      </c>
      <c r="L76" s="1">
        <f t="shared" si="11"/>
        <v>1091.3191602661386</v>
      </c>
      <c r="O76">
        <f t="shared" si="0"/>
        <v>16.75</v>
      </c>
      <c r="P76">
        <f t="shared" si="13"/>
        <v>15348.397251556729</v>
      </c>
      <c r="Q76">
        <f t="shared" si="14"/>
        <v>10852.955776920733</v>
      </c>
    </row>
    <row r="77" spans="1:17">
      <c r="A77" s="12">
        <f t="shared" si="12"/>
        <v>17</v>
      </c>
      <c r="B77" s="13">
        <f t="shared" si="1"/>
        <v>16116.264522303938</v>
      </c>
      <c r="C77" s="14">
        <f t="shared" si="2"/>
        <v>16.11626452230394</v>
      </c>
      <c r="D77" s="13">
        <f t="shared" si="3"/>
        <v>11395.919931117291</v>
      </c>
      <c r="E77" s="14">
        <f t="shared" si="4"/>
        <v>11.395919931117291</v>
      </c>
      <c r="F77" s="1">
        <f t="shared" si="5"/>
        <v>17000000</v>
      </c>
      <c r="G77" s="1">
        <f t="shared" si="6"/>
        <v>17.634850470588237</v>
      </c>
      <c r="H77" s="1">
        <f t="shared" si="7"/>
        <v>1.6027445238760182E-5</v>
      </c>
      <c r="I77" s="1">
        <f t="shared" si="8"/>
        <v>4.8893404529703005E-2</v>
      </c>
      <c r="J77" s="1">
        <f t="shared" si="9"/>
        <v>0.19899732136172896</v>
      </c>
      <c r="K77" s="1">
        <f t="shared" si="10"/>
        <v>0.24789072589143196</v>
      </c>
      <c r="L77" s="1">
        <f t="shared" si="11"/>
        <v>1054.835006987694</v>
      </c>
      <c r="O77">
        <f t="shared" si="0"/>
        <v>17</v>
      </c>
      <c r="P77">
        <f t="shared" si="13"/>
        <v>16116.264522303938</v>
      </c>
      <c r="Q77">
        <f t="shared" si="14"/>
        <v>11395.919931117291</v>
      </c>
    </row>
    <row r="78" spans="1:17">
      <c r="A78" s="12">
        <f t="shared" si="12"/>
        <v>17.25</v>
      </c>
      <c r="B78" s="13">
        <f t="shared" si="1"/>
        <v>16917.53603331442</v>
      </c>
      <c r="C78" s="14">
        <f t="shared" si="2"/>
        <v>16.91753603331442</v>
      </c>
      <c r="D78" s="13">
        <f t="shared" si="3"/>
        <v>11962.504450124394</v>
      </c>
      <c r="E78" s="14">
        <f t="shared" si="4"/>
        <v>11.962504450124394</v>
      </c>
      <c r="F78" s="1">
        <f t="shared" si="5"/>
        <v>17250000</v>
      </c>
      <c r="G78" s="1">
        <f t="shared" si="6"/>
        <v>17.379272927536231</v>
      </c>
      <c r="H78" s="1">
        <f t="shared" si="7"/>
        <v>1.5910880453661596E-5</v>
      </c>
      <c r="I78" s="1">
        <f t="shared" si="8"/>
        <v>4.9251602758163163E-2</v>
      </c>
      <c r="J78" s="1">
        <f t="shared" si="9"/>
        <v>0.21096380148696689</v>
      </c>
      <c r="K78" s="1">
        <f t="shared" si="10"/>
        <v>0.26021540424513007</v>
      </c>
      <c r="L78" s="1">
        <f t="shared" si="11"/>
        <v>1019.6520324254599</v>
      </c>
      <c r="O78">
        <f t="shared" si="0"/>
        <v>17.25</v>
      </c>
      <c r="P78">
        <f t="shared" si="13"/>
        <v>16917.53603331442</v>
      </c>
      <c r="Q78">
        <f t="shared" si="14"/>
        <v>11962.504450124394</v>
      </c>
    </row>
    <row r="79" spans="1:17">
      <c r="A79" s="12">
        <f t="shared" si="12"/>
        <v>17.5</v>
      </c>
      <c r="B79" s="13">
        <f t="shared" si="1"/>
        <v>17753.210265837402</v>
      </c>
      <c r="C79" s="14">
        <f t="shared" si="2"/>
        <v>17.753210265837403</v>
      </c>
      <c r="D79" s="13">
        <f t="shared" si="3"/>
        <v>12553.415366804258</v>
      </c>
      <c r="E79" s="14">
        <f t="shared" si="4"/>
        <v>12.553415366804257</v>
      </c>
      <c r="F79" s="1">
        <f t="shared" si="5"/>
        <v>17500000</v>
      </c>
      <c r="G79" s="1">
        <f t="shared" si="6"/>
        <v>17.130997600000001</v>
      </c>
      <c r="H79" s="1">
        <f t="shared" si="7"/>
        <v>1.5796822492396117E-5</v>
      </c>
      <c r="I79" s="1">
        <f t="shared" si="8"/>
        <v>4.9607214616330039E-2</v>
      </c>
      <c r="J79" s="1">
        <f t="shared" si="9"/>
        <v>0.22346203003469534</v>
      </c>
      <c r="K79" s="1">
        <f t="shared" si="10"/>
        <v>0.27306924465102539</v>
      </c>
      <c r="L79" s="1">
        <f t="shared" si="11"/>
        <v>985.73721247899277</v>
      </c>
      <c r="O79">
        <f t="shared" si="0"/>
        <v>17.5</v>
      </c>
      <c r="P79">
        <f t="shared" si="13"/>
        <v>17753.210265837402</v>
      </c>
      <c r="Q79">
        <f t="shared" si="14"/>
        <v>12553.415366804258</v>
      </c>
    </row>
    <row r="80" spans="1:17">
      <c r="A80" s="12">
        <f t="shared" si="12"/>
        <v>17.75</v>
      </c>
      <c r="B80" s="13">
        <f t="shared" si="1"/>
        <v>18624.300090631772</v>
      </c>
      <c r="C80" s="14">
        <f t="shared" si="2"/>
        <v>18.62430009063177</v>
      </c>
      <c r="D80" s="13">
        <f t="shared" si="3"/>
        <v>13169.368888938958</v>
      </c>
      <c r="E80" s="14">
        <f t="shared" si="4"/>
        <v>13.169368888938958</v>
      </c>
      <c r="F80" s="1">
        <f t="shared" si="5"/>
        <v>17750000</v>
      </c>
      <c r="G80" s="1">
        <f t="shared" si="6"/>
        <v>16.889715943661972</v>
      </c>
      <c r="H80" s="1">
        <f t="shared" si="7"/>
        <v>1.5685182771988682E-5</v>
      </c>
      <c r="I80" s="1">
        <f t="shared" si="8"/>
        <v>4.9960295332727493E-2</v>
      </c>
      <c r="J80" s="1">
        <f t="shared" si="9"/>
        <v>0.23650753114760922</v>
      </c>
      <c r="K80" s="1">
        <f t="shared" si="10"/>
        <v>0.2864678264803367</v>
      </c>
      <c r="L80" s="1">
        <f t="shared" si="11"/>
        <v>953.05594914293965</v>
      </c>
      <c r="O80">
        <f t="shared" si="0"/>
        <v>17.75</v>
      </c>
      <c r="P80">
        <f t="shared" si="13"/>
        <v>18624.300090631772</v>
      </c>
      <c r="Q80">
        <f t="shared" si="14"/>
        <v>13169.368888938958</v>
      </c>
    </row>
    <row r="81" spans="1:17">
      <c r="A81" s="12">
        <f t="shared" si="12"/>
        <v>18</v>
      </c>
      <c r="B81" s="13">
        <f t="shared" si="1"/>
        <v>19531.832774475832</v>
      </c>
      <c r="C81" s="14">
        <f t="shared" si="2"/>
        <v>19.531832774475831</v>
      </c>
      <c r="D81" s="13">
        <f t="shared" si="3"/>
        <v>13811.09140383352</v>
      </c>
      <c r="E81" s="14">
        <f t="shared" si="4"/>
        <v>13.811091403833519</v>
      </c>
      <c r="F81" s="1">
        <f t="shared" si="5"/>
        <v>18000000</v>
      </c>
      <c r="G81" s="1">
        <f t="shared" si="6"/>
        <v>16.655136555555554</v>
      </c>
      <c r="H81" s="1">
        <f t="shared" si="7"/>
        <v>1.5575877030746328E-5</v>
      </c>
      <c r="I81" s="1">
        <f t="shared" si="8"/>
        <v>5.0310898197866383E-2</v>
      </c>
      <c r="J81" s="1">
        <f t="shared" si="9"/>
        <v>0.25011605233736284</v>
      </c>
      <c r="K81" s="1">
        <f t="shared" si="10"/>
        <v>0.30042695053522922</v>
      </c>
      <c r="L81" s="1">
        <f t="shared" si="11"/>
        <v>921.57250207069001</v>
      </c>
      <c r="O81">
        <f t="shared" si="0"/>
        <v>18</v>
      </c>
      <c r="P81">
        <f t="shared" si="13"/>
        <v>19531.832774475832</v>
      </c>
      <c r="Q81">
        <f t="shared" si="14"/>
        <v>13811.09140383352</v>
      </c>
    </row>
    <row r="82" spans="1:17">
      <c r="A82" s="12">
        <f t="shared" si="12"/>
        <v>18.25</v>
      </c>
      <c r="B82" s="13">
        <f t="shared" si="1"/>
        <v>20476.849986271645</v>
      </c>
      <c r="C82" s="14">
        <f t="shared" si="2"/>
        <v>20.476849986271645</v>
      </c>
      <c r="D82" s="13">
        <f t="shared" si="3"/>
        <v>14479.319482632343</v>
      </c>
      <c r="E82" s="14">
        <f t="shared" si="4"/>
        <v>14.479319482632343</v>
      </c>
      <c r="F82" s="1">
        <f t="shared" si="5"/>
        <v>18250000</v>
      </c>
      <c r="G82" s="1">
        <f t="shared" si="6"/>
        <v>16.426984000000001</v>
      </c>
      <c r="H82" s="1">
        <f t="shared" si="7"/>
        <v>1.5468825060950433E-5</v>
      </c>
      <c r="I82" s="1">
        <f t="shared" si="8"/>
        <v>5.0659074658137987E-2</v>
      </c>
      <c r="J82" s="1">
        <f t="shared" si="9"/>
        <v>0.2643035644845696</v>
      </c>
      <c r="K82" s="1">
        <f t="shared" si="10"/>
        <v>0.31496263914270761</v>
      </c>
      <c r="L82" s="1">
        <f t="shared" si="11"/>
        <v>891.25036381256893</v>
      </c>
      <c r="O82">
        <f t="shared" si="0"/>
        <v>18.25</v>
      </c>
      <c r="P82">
        <f t="shared" si="13"/>
        <v>20476.849986271645</v>
      </c>
      <c r="Q82">
        <f t="shared" si="14"/>
        <v>14479.319482632343</v>
      </c>
    </row>
    <row r="83" spans="1:17">
      <c r="A83" s="12">
        <f t="shared" si="12"/>
        <v>18.5</v>
      </c>
      <c r="B83" s="13">
        <f t="shared" si="1"/>
        <v>21460.407802774411</v>
      </c>
      <c r="C83" s="14">
        <f t="shared" si="2"/>
        <v>21.460407802774412</v>
      </c>
      <c r="D83" s="13">
        <f t="shared" si="3"/>
        <v>15174.799884370483</v>
      </c>
      <c r="E83" s="14">
        <f t="shared" si="4"/>
        <v>15.174799884370483</v>
      </c>
      <c r="F83" s="1">
        <f t="shared" si="5"/>
        <v>18500000</v>
      </c>
      <c r="G83" s="1">
        <f t="shared" si="6"/>
        <v>16.20499772972973</v>
      </c>
      <c r="H83" s="1">
        <f t="shared" si="7"/>
        <v>1.5363950461484828E-5</v>
      </c>
      <c r="I83" s="1">
        <f t="shared" si="8"/>
        <v>5.1004874403938319E-2</v>
      </c>
      <c r="J83" s="1">
        <f t="shared" si="9"/>
        <v>0.27908626183880375</v>
      </c>
      <c r="K83" s="1">
        <f t="shared" si="10"/>
        <v>0.33009113624274206</v>
      </c>
      <c r="L83" s="1">
        <f t="shared" si="11"/>
        <v>862.05258399648449</v>
      </c>
      <c r="O83">
        <f t="shared" si="0"/>
        <v>18.5</v>
      </c>
      <c r="P83">
        <f t="shared" si="13"/>
        <v>21460.407802774411</v>
      </c>
      <c r="Q83">
        <f t="shared" si="14"/>
        <v>15174.799884370483</v>
      </c>
    </row>
    <row r="84" spans="1:17">
      <c r="A84" s="12">
        <f t="shared" si="12"/>
        <v>18.75</v>
      </c>
      <c r="B84" s="13">
        <f t="shared" si="1"/>
        <v>22483.576713974344</v>
      </c>
      <c r="C84" s="14">
        <f t="shared" si="2"/>
        <v>22.483576713974344</v>
      </c>
      <c r="D84" s="13">
        <f t="shared" si="3"/>
        <v>15898.289559779212</v>
      </c>
      <c r="E84" s="14">
        <f t="shared" si="4"/>
        <v>15.898289559779212</v>
      </c>
      <c r="F84" s="1">
        <f t="shared" si="5"/>
        <v>18750000</v>
      </c>
      <c r="G84" s="1">
        <f t="shared" si="6"/>
        <v>15.988931093333333</v>
      </c>
      <c r="H84" s="1">
        <f t="shared" si="7"/>
        <v>1.5261180408666093E-5</v>
      </c>
      <c r="I84" s="1">
        <f t="shared" si="8"/>
        <v>5.1348345452450997E-2</v>
      </c>
      <c r="J84" s="1">
        <f t="shared" si="9"/>
        <v>0.2944805620185979</v>
      </c>
      <c r="K84" s="1">
        <f t="shared" si="10"/>
        <v>0.34582890747104889</v>
      </c>
      <c r="L84" s="1">
        <f t="shared" si="11"/>
        <v>833.94204750110805</v>
      </c>
      <c r="O84">
        <f t="shared" si="0"/>
        <v>18.75</v>
      </c>
      <c r="P84">
        <f t="shared" si="13"/>
        <v>22483.576713974344</v>
      </c>
      <c r="Q84">
        <f t="shared" si="14"/>
        <v>15898.289559779212</v>
      </c>
    </row>
    <row r="85" spans="1:17">
      <c r="A85" s="12">
        <f t="shared" si="12"/>
        <v>19</v>
      </c>
      <c r="B85" s="13">
        <f t="shared" si="1"/>
        <v>23547.441628156881</v>
      </c>
      <c r="C85" s="14">
        <f t="shared" si="2"/>
        <v>23.547441628156882</v>
      </c>
      <c r="D85" s="13">
        <f t="shared" si="3"/>
        <v>16650.555654864129</v>
      </c>
      <c r="E85" s="14">
        <f t="shared" si="4"/>
        <v>16.650555654864128</v>
      </c>
      <c r="F85" s="1">
        <f t="shared" si="5"/>
        <v>19000000</v>
      </c>
      <c r="G85" s="1">
        <f t="shared" si="6"/>
        <v>15.778550421052632</v>
      </c>
      <c r="H85" s="1">
        <f t="shared" si="7"/>
        <v>1.5160445443714028E-5</v>
      </c>
      <c r="I85" s="1">
        <f t="shared" si="8"/>
        <v>5.1689534225479027E-2</v>
      </c>
      <c r="J85" s="1">
        <f t="shared" si="9"/>
        <v>0.31050310601144493</v>
      </c>
      <c r="K85" s="1">
        <f t="shared" si="10"/>
        <v>0.36219264023692394</v>
      </c>
      <c r="L85" s="1">
        <f t="shared" si="11"/>
        <v>806.88171139920053</v>
      </c>
      <c r="O85">
        <f t="shared" si="0"/>
        <v>19</v>
      </c>
      <c r="P85">
        <f t="shared" si="13"/>
        <v>23547.441628156881</v>
      </c>
      <c r="Q85">
        <f t="shared" si="14"/>
        <v>16650.555654864129</v>
      </c>
    </row>
    <row r="86" spans="1:17">
      <c r="A86" s="12">
        <f t="shared" si="12"/>
        <v>19.25</v>
      </c>
      <c r="B86" s="13">
        <f t="shared" si="1"/>
        <v>24653.101876664135</v>
      </c>
      <c r="C86" s="14">
        <f t="shared" si="2"/>
        <v>24.653101876664135</v>
      </c>
      <c r="D86" s="13">
        <f t="shared" si="3"/>
        <v>17432.375514272011</v>
      </c>
      <c r="E86" s="14">
        <f t="shared" si="4"/>
        <v>17.43237551427201</v>
      </c>
      <c r="F86" s="1">
        <f t="shared" si="5"/>
        <v>19250000</v>
      </c>
      <c r="G86" s="1">
        <f t="shared" si="6"/>
        <v>15.573634181818182</v>
      </c>
      <c r="H86" s="1">
        <f t="shared" si="7"/>
        <v>1.5061679275453015E-5</v>
      </c>
      <c r="I86" s="1">
        <f t="shared" si="8"/>
        <v>5.2028485622682613E-2</v>
      </c>
      <c r="J86" s="1">
        <f t="shared" si="9"/>
        <v>0.32717075817379754</v>
      </c>
      <c r="K86" s="1">
        <f t="shared" si="10"/>
        <v>0.37919924379648018</v>
      </c>
      <c r="L86" s="1">
        <f t="shared" si="11"/>
        <v>780.83480514155724</v>
      </c>
      <c r="O86">
        <f t="shared" si="0"/>
        <v>19.25</v>
      </c>
      <c r="P86">
        <f t="shared" si="13"/>
        <v>24653.101876664135</v>
      </c>
      <c r="Q86">
        <f t="shared" si="14"/>
        <v>17432.375514272011</v>
      </c>
    </row>
    <row r="87" spans="1:17">
      <c r="A87" s="12">
        <f t="shared" si="12"/>
        <v>19.5</v>
      </c>
      <c r="B87" s="13">
        <f t="shared" si="1"/>
        <v>25801.671218378884</v>
      </c>
      <c r="C87" s="14">
        <f t="shared" si="2"/>
        <v>25.801671218378885</v>
      </c>
      <c r="D87" s="13">
        <f t="shared" si="3"/>
        <v>18244.53668446148</v>
      </c>
      <c r="E87" s="14">
        <f t="shared" si="4"/>
        <v>18.24453668446148</v>
      </c>
      <c r="F87" s="1">
        <f t="shared" si="5"/>
        <v>19500000</v>
      </c>
      <c r="G87" s="1">
        <f t="shared" si="6"/>
        <v>15.373972205128204</v>
      </c>
      <c r="H87" s="1">
        <f t="shared" si="7"/>
        <v>1.4964818596970832E-5</v>
      </c>
      <c r="I87" s="1">
        <f t="shared" si="8"/>
        <v>5.2365243090550191E-2</v>
      </c>
      <c r="J87" s="1">
        <f t="shared" si="9"/>
        <v>0.3445006062310676</v>
      </c>
      <c r="K87" s="1">
        <f t="shared" si="10"/>
        <v>0.39686584932161778</v>
      </c>
      <c r="L87" s="1">
        <f t="shared" si="11"/>
        <v>755.76499812577572</v>
      </c>
      <c r="O87">
        <f t="shared" si="0"/>
        <v>19.5</v>
      </c>
      <c r="P87">
        <f t="shared" si="13"/>
        <v>25801.671218378884</v>
      </c>
      <c r="Q87">
        <f t="shared" si="14"/>
        <v>18244.53668446148</v>
      </c>
    </row>
    <row r="88" spans="1:17">
      <c r="A88" s="12">
        <f t="shared" si="12"/>
        <v>19.75</v>
      </c>
      <c r="B88" s="13">
        <f t="shared" si="1"/>
        <v>26994.277843950815</v>
      </c>
      <c r="C88" s="14">
        <f t="shared" si="2"/>
        <v>26.994277843950815</v>
      </c>
      <c r="D88" s="13">
        <f t="shared" si="3"/>
        <v>19087.836916691398</v>
      </c>
      <c r="E88" s="14">
        <f t="shared" si="4"/>
        <v>19.087836916691398</v>
      </c>
      <c r="F88" s="1">
        <f t="shared" si="5"/>
        <v>19750000</v>
      </c>
      <c r="G88" s="1">
        <f t="shared" si="6"/>
        <v>15.179364962025316</v>
      </c>
      <c r="H88" s="1">
        <f t="shared" si="7"/>
        <v>1.4869802915082817E-5</v>
      </c>
      <c r="I88" s="1">
        <f t="shared" si="8"/>
        <v>5.2699848687402684E-2</v>
      </c>
      <c r="J88" s="1">
        <f t="shared" si="9"/>
        <v>0.3625099612776268</v>
      </c>
      <c r="K88" s="1">
        <f t="shared" si="10"/>
        <v>0.41520980996502949</v>
      </c>
      <c r="L88" s="1">
        <f t="shared" si="11"/>
        <v>731.63653846090222</v>
      </c>
      <c r="O88">
        <f t="shared" si="0"/>
        <v>19.75</v>
      </c>
      <c r="P88">
        <f t="shared" si="13"/>
        <v>26994.277843950815</v>
      </c>
      <c r="Q88">
        <f t="shared" si="14"/>
        <v>19087.836916691398</v>
      </c>
    </row>
    <row r="89" spans="1:17">
      <c r="A89" s="12">
        <f t="shared" si="12"/>
        <v>20</v>
      </c>
      <c r="B89" s="13">
        <f t="shared" si="1"/>
        <v>28232.064379782594</v>
      </c>
      <c r="C89" s="14">
        <f t="shared" si="2"/>
        <v>28.232064379782596</v>
      </c>
      <c r="D89" s="13">
        <f t="shared" si="3"/>
        <v>19963.084169839454</v>
      </c>
      <c r="E89" s="14">
        <f t="shared" si="4"/>
        <v>19.963084169839455</v>
      </c>
      <c r="F89" s="1">
        <f t="shared" si="5"/>
        <v>20000000</v>
      </c>
      <c r="G89" s="1">
        <f t="shared" si="6"/>
        <v>14.989622900000001</v>
      </c>
      <c r="H89" s="1">
        <f t="shared" si="7"/>
        <v>1.4776574391557669E-5</v>
      </c>
      <c r="I89" s="1">
        <f t="shared" si="8"/>
        <v>5.3032343144706152E-2</v>
      </c>
      <c r="J89" s="1">
        <f t="shared" si="9"/>
        <v>0.38121635777680646</v>
      </c>
      <c r="K89" s="1">
        <f t="shared" si="10"/>
        <v>0.43424870092151263</v>
      </c>
      <c r="L89" s="1">
        <f t="shared" si="11"/>
        <v>708.41436640822837</v>
      </c>
      <c r="O89">
        <f t="shared" si="0"/>
        <v>20</v>
      </c>
      <c r="P89">
        <f t="shared" si="13"/>
        <v>28232.064379782594</v>
      </c>
      <c r="Q89">
        <f t="shared" si="14"/>
        <v>19963.084169839454</v>
      </c>
    </row>
    <row r="90" spans="1:17">
      <c r="A90" s="12">
        <f t="shared" si="12"/>
        <v>20.25</v>
      </c>
      <c r="B90" s="13">
        <f t="shared" si="1"/>
        <v>29516.187891792582</v>
      </c>
      <c r="C90" s="14">
        <f t="shared" si="2"/>
        <v>29.516187891792583</v>
      </c>
      <c r="D90" s="13">
        <f t="shared" si="3"/>
        <v>20871.096613062804</v>
      </c>
      <c r="E90" s="14">
        <f t="shared" si="4"/>
        <v>20.871096613062804</v>
      </c>
      <c r="F90" s="1">
        <f t="shared" si="5"/>
        <v>20250000</v>
      </c>
      <c r="G90" s="1">
        <f t="shared" si="6"/>
        <v>14.804565827160493</v>
      </c>
      <c r="H90" s="1">
        <f t="shared" si="7"/>
        <v>1.4685077695158019E-5</v>
      </c>
      <c r="I90" s="1">
        <f t="shared" si="8"/>
        <v>5.3362765924946071E-2</v>
      </c>
      <c r="J90" s="1">
        <f t="shared" si="9"/>
        <v>0.40063755356089775</v>
      </c>
      <c r="K90" s="1">
        <f t="shared" si="10"/>
        <v>0.45400031948584385</v>
      </c>
      <c r="L90" s="1">
        <f t="shared" si="11"/>
        <v>686.06420565681572</v>
      </c>
      <c r="O90">
        <f t="shared" si="0"/>
        <v>20.25</v>
      </c>
      <c r="P90">
        <f t="shared" si="13"/>
        <v>29516.187891792582</v>
      </c>
      <c r="Q90">
        <f t="shared" si="14"/>
        <v>20871.096613062804</v>
      </c>
    </row>
    <row r="91" spans="1:17">
      <c r="A91" s="12">
        <f t="shared" si="12"/>
        <v>20.5</v>
      </c>
      <c r="B91" s="13">
        <f t="shared" si="1"/>
        <v>30847.819888968919</v>
      </c>
      <c r="C91" s="14">
        <f t="shared" si="2"/>
        <v>30.847819888968921</v>
      </c>
      <c r="D91" s="13">
        <f t="shared" si="3"/>
        <v>21812.702628311177</v>
      </c>
      <c r="E91" s="14">
        <f t="shared" si="4"/>
        <v>21.812702628311179</v>
      </c>
      <c r="F91" s="1">
        <f t="shared" si="5"/>
        <v>20500000</v>
      </c>
      <c r="G91" s="1">
        <f t="shared" si="6"/>
        <v>14.624022341463414</v>
      </c>
      <c r="H91" s="1">
        <f t="shared" si="7"/>
        <v>1.4595259863635911E-5</v>
      </c>
      <c r="I91" s="1">
        <f t="shared" si="8"/>
        <v>5.369115527629581E-2</v>
      </c>
      <c r="J91" s="1">
        <f t="shared" si="9"/>
        <v>0.42079152983115098</v>
      </c>
      <c r="K91" s="1">
        <f t="shared" si="10"/>
        <v>0.47448268510744679</v>
      </c>
      <c r="L91" s="1">
        <f t="shared" si="11"/>
        <v>664.55263528463263</v>
      </c>
      <c r="O91">
        <f t="shared" si="0"/>
        <v>20.5</v>
      </c>
      <c r="P91">
        <f t="shared" si="13"/>
        <v>30847.819888968919</v>
      </c>
      <c r="Q91">
        <f t="shared" si="14"/>
        <v>21812.702628311177</v>
      </c>
    </row>
    <row r="92" spans="1:17">
      <c r="A92" s="12">
        <f t="shared" si="12"/>
        <v>20.75</v>
      </c>
      <c r="B92" s="13">
        <f t="shared" si="1"/>
        <v>32228.146326729326</v>
      </c>
      <c r="C92" s="14">
        <f t="shared" si="2"/>
        <v>32.228146326729323</v>
      </c>
      <c r="D92" s="13">
        <f t="shared" si="3"/>
        <v>22788.740812702632</v>
      </c>
      <c r="E92" s="14">
        <f t="shared" si="4"/>
        <v>22.788740812702631</v>
      </c>
      <c r="F92" s="1">
        <f t="shared" si="5"/>
        <v>20750000</v>
      </c>
      <c r="G92" s="1">
        <f t="shared" si="6"/>
        <v>14.44782930120482</v>
      </c>
      <c r="H92" s="1">
        <f t="shared" si="7"/>
        <v>1.4507070174901148E-5</v>
      </c>
      <c r="I92" s="1">
        <f t="shared" si="8"/>
        <v>5.4017548284293976E-2</v>
      </c>
      <c r="J92" s="1">
        <f t="shared" si="9"/>
        <v>0.44169649115777659</v>
      </c>
      <c r="K92" s="1">
        <f t="shared" si="10"/>
        <v>0.4957140394420706</v>
      </c>
      <c r="L92" s="1">
        <f t="shared" si="11"/>
        <v>643.8471449656538</v>
      </c>
      <c r="O92">
        <f t="shared" si="0"/>
        <v>20.75</v>
      </c>
      <c r="P92">
        <f t="shared" si="13"/>
        <v>32228.146326729326</v>
      </c>
      <c r="Q92">
        <f t="shared" si="14"/>
        <v>22788.740812702632</v>
      </c>
    </row>
    <row r="93" spans="1:17">
      <c r="A93" s="12">
        <f t="shared" si="12"/>
        <v>21</v>
      </c>
      <c r="B93" s="13">
        <f t="shared" si="1"/>
        <v>33658.367610099172</v>
      </c>
      <c r="C93" s="14">
        <f t="shared" si="2"/>
        <v>33.65836761009917</v>
      </c>
      <c r="D93" s="13">
        <f t="shared" si="3"/>
        <v>23800.059980770777</v>
      </c>
      <c r="E93" s="14">
        <f t="shared" si="4"/>
        <v>23.800059980770776</v>
      </c>
      <c r="F93" s="1">
        <f t="shared" si="5"/>
        <v>21000000</v>
      </c>
      <c r="G93" s="1">
        <f t="shared" si="6"/>
        <v>14.275831333333333</v>
      </c>
      <c r="H93" s="1">
        <f t="shared" si="7"/>
        <v>1.4420460026650558E-5</v>
      </c>
      <c r="I93" s="1">
        <f t="shared" si="8"/>
        <v>5.4341980920727895E-2</v>
      </c>
      <c r="J93" s="1">
        <f t="shared" si="9"/>
        <v>0.46337086547994449</v>
      </c>
      <c r="K93" s="1">
        <f t="shared" si="10"/>
        <v>0.51771284640067239</v>
      </c>
      <c r="L93" s="1">
        <f t="shared" si="11"/>
        <v>623.91617571194877</v>
      </c>
      <c r="O93">
        <f t="shared" si="0"/>
        <v>21</v>
      </c>
      <c r="P93">
        <f t="shared" si="13"/>
        <v>33658.367610099172</v>
      </c>
      <c r="Q93">
        <f t="shared" si="14"/>
        <v>23800.059980770777</v>
      </c>
    </row>
    <row r="94" spans="1:17">
      <c r="A94" s="12">
        <f t="shared" si="12"/>
        <v>21.25</v>
      </c>
      <c r="B94" s="13">
        <f t="shared" si="1"/>
        <v>35139.698596719805</v>
      </c>
      <c r="C94" s="14">
        <f t="shared" si="2"/>
        <v>35.139698596719803</v>
      </c>
      <c r="D94" s="13">
        <f t="shared" si="3"/>
        <v>24847.519166591985</v>
      </c>
      <c r="E94" s="14">
        <f t="shared" si="4"/>
        <v>24.847519166591983</v>
      </c>
      <c r="F94" s="1">
        <f t="shared" si="5"/>
        <v>21250000</v>
      </c>
      <c r="G94" s="1">
        <f t="shared" si="6"/>
        <v>14.107880376470588</v>
      </c>
      <c r="H94" s="1">
        <f t="shared" si="7"/>
        <v>1.4335382823809244E-5</v>
      </c>
      <c r="I94" s="1">
        <f t="shared" si="8"/>
        <v>5.4664488089906024E-2</v>
      </c>
      <c r="J94" s="1">
        <f t="shared" si="9"/>
        <v>0.4858333041057839</v>
      </c>
      <c r="K94" s="1">
        <f t="shared" si="10"/>
        <v>0.54049779219568994</v>
      </c>
      <c r="L94" s="1">
        <f t="shared" si="11"/>
        <v>604.7291481886424</v>
      </c>
      <c r="O94">
        <f t="shared" si="0"/>
        <v>21.25</v>
      </c>
      <c r="P94">
        <f t="shared" si="13"/>
        <v>35139.698596719805</v>
      </c>
      <c r="Q94">
        <f t="shared" si="14"/>
        <v>24847.519166591985</v>
      </c>
    </row>
    <row r="95" spans="1:17">
      <c r="A95" s="12">
        <f t="shared" si="12"/>
        <v>21.5</v>
      </c>
      <c r="B95" s="13">
        <f t="shared" si="1"/>
        <v>36673.368599698093</v>
      </c>
      <c r="C95" s="14">
        <f t="shared" si="2"/>
        <v>36.673368599698094</v>
      </c>
      <c r="D95" s="13">
        <f t="shared" si="3"/>
        <v>25931.987625800324</v>
      </c>
      <c r="E95" s="14">
        <f t="shared" si="4"/>
        <v>25.931987625800325</v>
      </c>
      <c r="F95" s="1">
        <f t="shared" si="5"/>
        <v>21500000</v>
      </c>
      <c r="G95" s="1">
        <f t="shared" si="6"/>
        <v>13.943835255813953</v>
      </c>
      <c r="H95" s="1">
        <f t="shared" si="7"/>
        <v>1.4251793873191621E-5</v>
      </c>
      <c r="I95" s="1">
        <f t="shared" si="8"/>
        <v>5.4985103672487524E-2</v>
      </c>
      <c r="J95" s="1">
        <f t="shared" si="9"/>
        <v>0.50910268171238426</v>
      </c>
      <c r="K95" s="1">
        <f t="shared" si="10"/>
        <v>0.56408778538487181</v>
      </c>
      <c r="L95" s="1">
        <f t="shared" si="11"/>
        <v>586.25648040897431</v>
      </c>
      <c r="O95">
        <f t="shared" si="0"/>
        <v>21.5</v>
      </c>
      <c r="P95">
        <f t="shared" si="13"/>
        <v>36673.368599698093</v>
      </c>
      <c r="Q95">
        <f t="shared" si="14"/>
        <v>25931.987625800324</v>
      </c>
    </row>
    <row r="96" spans="1:17">
      <c r="A96" s="12">
        <f t="shared" si="12"/>
        <v>21.75</v>
      </c>
      <c r="B96" s="13">
        <f t="shared" si="1"/>
        <v>38260.621390307235</v>
      </c>
      <c r="C96" s="14">
        <f t="shared" si="2"/>
        <v>38.260621390307236</v>
      </c>
      <c r="D96" s="13">
        <f t="shared" si="3"/>
        <v>27054.34483749732</v>
      </c>
      <c r="E96" s="14">
        <f t="shared" si="4"/>
        <v>27.054344837497318</v>
      </c>
      <c r="F96" s="1">
        <f t="shared" si="5"/>
        <v>21750000</v>
      </c>
      <c r="G96" s="1">
        <f t="shared" si="6"/>
        <v>13.783561287356322</v>
      </c>
      <c r="H96" s="1">
        <f t="shared" si="7"/>
        <v>1.4169650284841243E-5</v>
      </c>
      <c r="I96" s="1">
        <f t="shared" si="8"/>
        <v>5.5303860567024833E-2</v>
      </c>
      <c r="J96" s="1">
        <f t="shared" si="9"/>
        <v>0.53319809634579429</v>
      </c>
      <c r="K96" s="1">
        <f t="shared" si="10"/>
        <v>0.58850195691281915</v>
      </c>
      <c r="L96" s="1">
        <f t="shared" si="11"/>
        <v>568.46959640624243</v>
      </c>
      <c r="O96">
        <f t="shared" si="0"/>
        <v>21.75</v>
      </c>
      <c r="P96">
        <f t="shared" si="13"/>
        <v>38260.621390307235</v>
      </c>
      <c r="Q96">
        <f t="shared" si="14"/>
        <v>27054.34483749732</v>
      </c>
    </row>
    <row r="97" spans="1:17">
      <c r="A97" s="12">
        <f t="shared" si="12"/>
        <v>22</v>
      </c>
      <c r="B97" s="13">
        <f t="shared" si="1"/>
        <v>39902.715200548271</v>
      </c>
      <c r="C97" s="14">
        <f t="shared" si="2"/>
        <v>39.902715200548272</v>
      </c>
      <c r="D97" s="13">
        <f t="shared" si="3"/>
        <v>28215.480506063213</v>
      </c>
      <c r="E97" s="14">
        <f t="shared" si="4"/>
        <v>28.215480506063212</v>
      </c>
      <c r="F97" s="1">
        <f t="shared" si="5"/>
        <v>22000000</v>
      </c>
      <c r="G97" s="1">
        <f t="shared" si="6"/>
        <v>13.62692990909091</v>
      </c>
      <c r="H97" s="1">
        <f t="shared" si="7"/>
        <v>1.408891087955469E-5</v>
      </c>
      <c r="I97" s="1">
        <f t="shared" si="8"/>
        <v>5.562079072936349E-2</v>
      </c>
      <c r="J97" s="1">
        <f t="shared" si="9"/>
        <v>0.55813886942102242</v>
      </c>
      <c r="K97" s="1">
        <f t="shared" si="10"/>
        <v>0.61375966015038586</v>
      </c>
      <c r="L97" s="1">
        <f t="shared" si="11"/>
        <v>551.34092728851988</v>
      </c>
      <c r="O97">
        <f t="shared" si="0"/>
        <v>22</v>
      </c>
      <c r="P97">
        <f t="shared" si="13"/>
        <v>39902.715200548271</v>
      </c>
      <c r="Q97">
        <f t="shared" si="14"/>
        <v>28215.480506063213</v>
      </c>
    </row>
    <row r="98" spans="1:17">
      <c r="A98" s="12">
        <f t="shared" si="12"/>
        <v>22.25</v>
      </c>
      <c r="B98" s="13">
        <f t="shared" si="1"/>
        <v>41600.922725581026</v>
      </c>
      <c r="C98" s="14">
        <f t="shared" si="2"/>
        <v>41.600922725581029</v>
      </c>
      <c r="D98" s="13">
        <f t="shared" si="3"/>
        <v>29416.294562875897</v>
      </c>
      <c r="E98" s="14">
        <f t="shared" si="4"/>
        <v>29.416294562875898</v>
      </c>
      <c r="F98" s="1">
        <f t="shared" si="5"/>
        <v>22250000</v>
      </c>
      <c r="G98" s="1">
        <f t="shared" si="6"/>
        <v>13.473818337078651</v>
      </c>
      <c r="H98" s="1">
        <f t="shared" si="7"/>
        <v>1.4009536102136565E-5</v>
      </c>
      <c r="I98" s="1">
        <f t="shared" si="8"/>
        <v>5.593592521003269E-2</v>
      </c>
      <c r="J98" s="1">
        <f t="shared" si="9"/>
        <v>0.5839445457220368</v>
      </c>
      <c r="K98" s="1">
        <f t="shared" si="10"/>
        <v>0.63988047093206946</v>
      </c>
      <c r="L98" s="1">
        <f t="shared" si="11"/>
        <v>534.84390590976352</v>
      </c>
      <c r="O98">
        <f t="shared" si="0"/>
        <v>22.25</v>
      </c>
      <c r="P98">
        <f t="shared" si="13"/>
        <v>41600.922725581026</v>
      </c>
      <c r="Q98">
        <f t="shared" si="14"/>
        <v>29416.294562875897</v>
      </c>
    </row>
    <row r="99" spans="1:17">
      <c r="A99" s="12">
        <f t="shared" si="12"/>
        <v>22.5</v>
      </c>
      <c r="B99" s="13">
        <f t="shared" si="1"/>
        <v>43356.531126032321</v>
      </c>
      <c r="C99" s="14">
        <f t="shared" si="2"/>
        <v>43.356531126032323</v>
      </c>
      <c r="D99" s="13">
        <f t="shared" si="3"/>
        <v>30657.697167943075</v>
      </c>
      <c r="E99" s="14">
        <f t="shared" si="4"/>
        <v>30.657697167943077</v>
      </c>
      <c r="F99" s="1">
        <f t="shared" si="5"/>
        <v>22500000</v>
      </c>
      <c r="G99" s="1">
        <f t="shared" si="6"/>
        <v>13.324109244444445</v>
      </c>
      <c r="H99" s="1">
        <f t="shared" si="7"/>
        <v>1.3931487939970547E-5</v>
      </c>
      <c r="I99" s="1">
        <f t="shared" si="8"/>
        <v>5.6249294189750457E-2</v>
      </c>
      <c r="J99" s="1">
        <f t="shared" si="9"/>
        <v>0.61063489340176436</v>
      </c>
      <c r="K99" s="1">
        <f t="shared" si="10"/>
        <v>0.6668841875915148</v>
      </c>
      <c r="L99" s="1">
        <f t="shared" si="11"/>
        <v>518.95295623617017</v>
      </c>
      <c r="O99">
        <f t="shared" si="0"/>
        <v>22.5</v>
      </c>
      <c r="P99">
        <f t="shared" si="13"/>
        <v>43356.531126032321</v>
      </c>
      <c r="Q99">
        <f t="shared" si="14"/>
        <v>30657.697167943075</v>
      </c>
    </row>
    <row r="100" spans="1:17">
      <c r="A100" s="12">
        <f t="shared" si="12"/>
        <v>22.75</v>
      </c>
      <c r="B100" s="13">
        <f t="shared" si="1"/>
        <v>45170.842030189393</v>
      </c>
      <c r="C100" s="14">
        <f t="shared" si="2"/>
        <v>45.170842030189391</v>
      </c>
      <c r="D100" s="13">
        <f t="shared" si="3"/>
        <v>31940.608711453238</v>
      </c>
      <c r="E100" s="14">
        <f t="shared" si="4"/>
        <v>31.940608711453237</v>
      </c>
      <c r="F100" s="1">
        <f t="shared" si="5"/>
        <v>22750000</v>
      </c>
      <c r="G100" s="1">
        <f t="shared" si="6"/>
        <v>13.177690461538461</v>
      </c>
      <c r="H100" s="1">
        <f t="shared" si="7"/>
        <v>1.3854729846525668E-5</v>
      </c>
      <c r="I100" s="1">
        <f t="shared" si="8"/>
        <v>5.656092701315827E-2</v>
      </c>
      <c r="J100" s="1">
        <f t="shared" si="9"/>
        <v>0.63822990398209367</v>
      </c>
      <c r="K100" s="1">
        <f t="shared" si="10"/>
        <v>0.69479083099525196</v>
      </c>
      <c r="L100" s="1">
        <f t="shared" si="11"/>
        <v>503.6434783481634</v>
      </c>
      <c r="O100">
        <f t="shared" ref="O100:O163" si="15">A100</f>
        <v>22.75</v>
      </c>
      <c r="P100">
        <f t="shared" si="13"/>
        <v>45170.842030189393</v>
      </c>
      <c r="Q100">
        <f t="shared" si="14"/>
        <v>31940.608711453238</v>
      </c>
    </row>
    <row r="101" spans="1:17">
      <c r="A101" s="12">
        <f t="shared" si="12"/>
        <v>23</v>
      </c>
      <c r="B101" s="13">
        <f t="shared" ref="B101:B164" si="16">IF(A101="","",F101/L101)</f>
        <v>47045.17153608465</v>
      </c>
      <c r="C101" s="14">
        <f t="shared" ref="C101:C164" si="17">IF(B101="","",B101/1000)</f>
        <v>47.045171536084652</v>
      </c>
      <c r="D101" s="13">
        <f t="shared" ref="D101:D164" si="18">IF(B101="","",B101*SQRT(0.5))</f>
        <v>33265.959815249807</v>
      </c>
      <c r="E101" s="14">
        <f t="shared" ref="E101:E164" si="19">IF(D101="","",D101/1000)</f>
        <v>33.265959815249808</v>
      </c>
      <c r="F101" s="1">
        <f t="shared" ref="F101:F164" si="20">IF(A101="","",A101*1000000)</f>
        <v>23000000</v>
      </c>
      <c r="G101" s="1">
        <f t="shared" ref="G101:G164" si="21">IF(F101="","",$E$3/F101)</f>
        <v>13.034454695652174</v>
      </c>
      <c r="H101" s="1">
        <f t="shared" ref="H101:H164" si="22">IF(F101="","",SQRT($E$5/(PI()*F101*$E$4)))</f>
        <v>1.3779226669448217E-5</v>
      </c>
      <c r="I101" s="1">
        <f t="shared" ref="I101:I164" si="23">IF(F101="","",$B$16*$E$5/(PI()*$B$13*H101))</f>
        <v>5.6870852220892026E-2</v>
      </c>
      <c r="J101" s="1">
        <f t="shared" ref="J101:J164" si="24">IF(F101="","",31200*($B$17/(G101^2))^2)</f>
        <v>0.66674979235387055</v>
      </c>
      <c r="K101" s="1">
        <f t="shared" ref="K101:K164" si="25">IF(F101="","",I101+J101+$B$19)</f>
        <v>0.72362064457476261</v>
      </c>
      <c r="L101" s="1">
        <f t="shared" ref="L101:L164" si="26">IF(F101="","",2*PI()*F101*$B$18/K101)</f>
        <v>488.89182989498744</v>
      </c>
      <c r="O101">
        <f t="shared" si="15"/>
        <v>23</v>
      </c>
      <c r="P101">
        <f t="shared" si="13"/>
        <v>47045.17153608465</v>
      </c>
      <c r="Q101">
        <f t="shared" si="14"/>
        <v>33265.959815249807</v>
      </c>
    </row>
    <row r="102" spans="1:17">
      <c r="A102" s="12">
        <f t="shared" ref="A102:A165" si="27">IF(A101="","",IF(A101+$B$9&gt;$B$8,"",A101+$B$9))</f>
        <v>23.25</v>
      </c>
      <c r="B102" s="13">
        <f t="shared" si="16"/>
        <v>48980.850213479265</v>
      </c>
      <c r="C102" s="14">
        <f t="shared" si="17"/>
        <v>48.980850213479265</v>
      </c>
      <c r="D102" s="13">
        <f t="shared" si="18"/>
        <v>34634.691334233743</v>
      </c>
      <c r="E102" s="14">
        <f t="shared" si="19"/>
        <v>34.634691334233743</v>
      </c>
      <c r="F102" s="1">
        <f t="shared" si="20"/>
        <v>23250000</v>
      </c>
      <c r="G102" s="1">
        <f t="shared" si="21"/>
        <v>12.894299268817205</v>
      </c>
      <c r="H102" s="1">
        <f t="shared" si="22"/>
        <v>1.3704944582917868E-5</v>
      </c>
      <c r="I102" s="1">
        <f t="shared" si="23"/>
        <v>5.7179097580088337E-2</v>
      </c>
      <c r="J102" s="1">
        <f t="shared" si="24"/>
        <v>0.69621499677690235</v>
      </c>
      <c r="K102" s="1">
        <f t="shared" si="25"/>
        <v>0.75339409435699067</v>
      </c>
      <c r="L102" s="1">
        <f t="shared" si="26"/>
        <v>474.67530470922134</v>
      </c>
      <c r="O102">
        <f t="shared" si="15"/>
        <v>23.25</v>
      </c>
      <c r="P102">
        <f t="shared" ref="P102:P127" si="28">B102</f>
        <v>48980.850213479265</v>
      </c>
      <c r="Q102">
        <f t="shared" ref="Q102:Q127" si="29">D102</f>
        <v>34634.691334233743</v>
      </c>
    </row>
    <row r="103" spans="1:17">
      <c r="A103" s="12">
        <f t="shared" si="27"/>
        <v>23.5</v>
      </c>
      <c r="B103" s="13">
        <f t="shared" si="16"/>
        <v>50979.223105750621</v>
      </c>
      <c r="C103" s="14">
        <f t="shared" si="17"/>
        <v>50.97922310575062</v>
      </c>
      <c r="D103" s="13">
        <f t="shared" si="18"/>
        <v>36047.754357698192</v>
      </c>
      <c r="E103" s="14">
        <f t="shared" si="19"/>
        <v>36.047754357698189</v>
      </c>
      <c r="F103" s="1">
        <f t="shared" si="20"/>
        <v>23500000</v>
      </c>
      <c r="G103" s="1">
        <f t="shared" si="21"/>
        <v>12.757125872340426</v>
      </c>
      <c r="H103" s="1">
        <f t="shared" si="22"/>
        <v>1.3631851023972384E-5</v>
      </c>
      <c r="I103" s="1">
        <f t="shared" si="23"/>
        <v>5.7485690113418551E-2</v>
      </c>
      <c r="J103" s="1">
        <f t="shared" si="24"/>
        <v>0.72664617887995475</v>
      </c>
      <c r="K103" s="1">
        <f t="shared" si="25"/>
        <v>0.78413186899337328</v>
      </c>
      <c r="L103" s="1">
        <f t="shared" si="26"/>
        <v>460.97210919146244</v>
      </c>
      <c r="O103">
        <f t="shared" si="15"/>
        <v>23.5</v>
      </c>
      <c r="P103">
        <f t="shared" si="28"/>
        <v>50979.223105750621</v>
      </c>
      <c r="Q103">
        <f t="shared" si="29"/>
        <v>36047.754357698192</v>
      </c>
    </row>
    <row r="104" spans="1:17">
      <c r="A104" s="12">
        <f t="shared" si="27"/>
        <v>23.75</v>
      </c>
      <c r="B104" s="13">
        <f t="shared" si="16"/>
        <v>53041.649731689897</v>
      </c>
      <c r="C104" s="14">
        <f t="shared" si="17"/>
        <v>53.041649731689894</v>
      </c>
      <c r="D104" s="13">
        <f t="shared" si="18"/>
        <v>37506.110210599545</v>
      </c>
      <c r="E104" s="14">
        <f t="shared" si="19"/>
        <v>37.506110210599545</v>
      </c>
      <c r="F104" s="1">
        <f t="shared" si="20"/>
        <v>23750000</v>
      </c>
      <c r="G104" s="1">
        <f t="shared" si="21"/>
        <v>12.622840336842104</v>
      </c>
      <c r="H104" s="1">
        <f t="shared" si="22"/>
        <v>1.355991463252861E-5</v>
      </c>
      <c r="I104" s="1">
        <f t="shared" si="23"/>
        <v>5.7790656126736527E-2</v>
      </c>
      <c r="J104" s="1">
        <f t="shared" si="24"/>
        <v>0.75806422366075443</v>
      </c>
      <c r="K104" s="1">
        <f t="shared" si="25"/>
        <v>0.81585487978749094</v>
      </c>
      <c r="L104" s="1">
        <f t="shared" si="26"/>
        <v>447.76133698968437</v>
      </c>
      <c r="O104">
        <f t="shared" si="15"/>
        <v>23.75</v>
      </c>
      <c r="P104">
        <f t="shared" si="28"/>
        <v>53041.649731689897</v>
      </c>
      <c r="Q104">
        <f t="shared" si="29"/>
        <v>37506.110210599545</v>
      </c>
    </row>
    <row r="105" spans="1:17">
      <c r="A105" s="12">
        <f t="shared" si="27"/>
        <v>24</v>
      </c>
      <c r="B105" s="13">
        <f t="shared" si="16"/>
        <v>55169.504087214467</v>
      </c>
      <c r="C105" s="14">
        <f t="shared" si="17"/>
        <v>55.16950408721447</v>
      </c>
      <c r="D105" s="13">
        <f t="shared" si="18"/>
        <v>39010.730454768302</v>
      </c>
      <c r="E105" s="14">
        <f t="shared" si="19"/>
        <v>39.0107304547683</v>
      </c>
      <c r="F105" s="1">
        <f t="shared" si="20"/>
        <v>24000000</v>
      </c>
      <c r="G105" s="1">
        <f t="shared" si="21"/>
        <v>12.491352416666667</v>
      </c>
      <c r="H105" s="1">
        <f t="shared" si="22"/>
        <v>1.3489105194848852E-5</v>
      </c>
      <c r="I105" s="1">
        <f t="shared" si="23"/>
        <v>5.8094021235420033E-2</v>
      </c>
      <c r="J105" s="1">
        <f t="shared" si="24"/>
        <v>0.79049023948598618</v>
      </c>
      <c r="K105" s="1">
        <f t="shared" si="25"/>
        <v>0.84858426072140625</v>
      </c>
      <c r="L105" s="1">
        <f t="shared" si="26"/>
        <v>435.02294242231551</v>
      </c>
      <c r="O105">
        <f t="shared" si="15"/>
        <v>24</v>
      </c>
      <c r="P105">
        <f t="shared" si="28"/>
        <v>55169.504087214467</v>
      </c>
      <c r="Q105">
        <f t="shared" si="29"/>
        <v>39010.730454768302</v>
      </c>
    </row>
    <row r="106" spans="1:17">
      <c r="A106" s="12">
        <f t="shared" si="27"/>
        <v>24.25</v>
      </c>
      <c r="B106" s="13">
        <f t="shared" si="16"/>
        <v>57364.17464700048</v>
      </c>
      <c r="C106" s="14">
        <f t="shared" si="17"/>
        <v>57.364174647000482</v>
      </c>
      <c r="D106" s="13">
        <f t="shared" si="18"/>
        <v>40562.596890063469</v>
      </c>
      <c r="E106" s="14">
        <f t="shared" si="19"/>
        <v>40.562596890063467</v>
      </c>
      <c r="F106" s="1">
        <f t="shared" si="20"/>
        <v>24250000</v>
      </c>
      <c r="G106" s="1">
        <f t="shared" si="21"/>
        <v>12.362575587628866</v>
      </c>
      <c r="H106" s="1">
        <f t="shared" si="22"/>
        <v>1.3419393590221146E-5</v>
      </c>
      <c r="I106" s="1">
        <f t="shared" si="23"/>
        <v>5.8395810389480489E-2</v>
      </c>
      <c r="J106" s="1">
        <f t="shared" si="24"/>
        <v>0.82394555809129488</v>
      </c>
      <c r="K106" s="1">
        <f t="shared" si="25"/>
        <v>0.88234136848077538</v>
      </c>
      <c r="L106" s="1">
        <f t="shared" si="26"/>
        <v>422.73771302779494</v>
      </c>
      <c r="O106">
        <f t="shared" si="15"/>
        <v>24.25</v>
      </c>
      <c r="P106">
        <f t="shared" si="28"/>
        <v>57364.17464700048</v>
      </c>
      <c r="Q106">
        <f t="shared" si="29"/>
        <v>40562.596890063469</v>
      </c>
    </row>
    <row r="107" spans="1:17">
      <c r="A107" s="12">
        <f t="shared" si="27"/>
        <v>24.5</v>
      </c>
      <c r="B107" s="13">
        <f t="shared" si="16"/>
        <v>59627.064366039864</v>
      </c>
      <c r="C107" s="14">
        <f t="shared" si="17"/>
        <v>59.62706436603986</v>
      </c>
      <c r="D107" s="13">
        <f t="shared" si="18"/>
        <v>42162.701555473541</v>
      </c>
      <c r="E107" s="14">
        <f t="shared" si="19"/>
        <v>42.162701555473539</v>
      </c>
      <c r="F107" s="1">
        <f t="shared" si="20"/>
        <v>24500000</v>
      </c>
      <c r="G107" s="1">
        <f t="shared" si="21"/>
        <v>12.236426857142858</v>
      </c>
      <c r="H107" s="1">
        <f t="shared" si="22"/>
        <v>1.3350751740639709E-5</v>
      </c>
      <c r="I107" s="1">
        <f t="shared" si="23"/>
        <v>5.8696047897510789E-2</v>
      </c>
      <c r="J107" s="1">
        <f t="shared" si="24"/>
        <v>0.85845173458128565</v>
      </c>
      <c r="K107" s="1">
        <f t="shared" si="25"/>
        <v>0.91714778247879647</v>
      </c>
      <c r="L107" s="1">
        <f t="shared" si="26"/>
        <v>410.88724156532157</v>
      </c>
      <c r="O107">
        <f t="shared" si="15"/>
        <v>24.5</v>
      </c>
      <c r="P107">
        <f t="shared" si="28"/>
        <v>59627.064366039864</v>
      </c>
      <c r="Q107">
        <f t="shared" si="29"/>
        <v>42162.701555473541</v>
      </c>
    </row>
    <row r="108" spans="1:17">
      <c r="A108" s="12">
        <f t="shared" si="27"/>
        <v>24.75</v>
      </c>
      <c r="B108" s="13">
        <f t="shared" si="16"/>
        <v>61959.590681125796</v>
      </c>
      <c r="C108" s="14">
        <f t="shared" si="17"/>
        <v>61.959590681125796</v>
      </c>
      <c r="D108" s="13">
        <f t="shared" si="18"/>
        <v>43812.046730166869</v>
      </c>
      <c r="E108" s="14">
        <f t="shared" si="19"/>
        <v>43.81204673016687</v>
      </c>
      <c r="F108" s="1">
        <f t="shared" si="20"/>
        <v>24750000</v>
      </c>
      <c r="G108" s="1">
        <f t="shared" si="21"/>
        <v>12.112826585858587</v>
      </c>
      <c r="H108" s="1">
        <f t="shared" si="22"/>
        <v>1.3283152563288062E-5</v>
      </c>
      <c r="I108" s="1">
        <f t="shared" si="23"/>
        <v>5.8994757449536167E-2</v>
      </c>
      <c r="J108" s="1">
        <f t="shared" si="24"/>
        <v>0.89403054742952293</v>
      </c>
      <c r="K108" s="1">
        <f t="shared" si="25"/>
        <v>0.95302530487905912</v>
      </c>
      <c r="L108" s="1">
        <f t="shared" si="26"/>
        <v>399.45389774079598</v>
      </c>
      <c r="O108">
        <f t="shared" si="15"/>
        <v>24.75</v>
      </c>
      <c r="P108">
        <f t="shared" si="28"/>
        <v>61959.590681125796</v>
      </c>
      <c r="Q108">
        <f t="shared" si="29"/>
        <v>43812.046730166869</v>
      </c>
    </row>
    <row r="109" spans="1:17">
      <c r="A109" s="12">
        <f t="shared" si="27"/>
        <v>25</v>
      </c>
      <c r="B109" s="13">
        <f t="shared" si="16"/>
        <v>64363.185512271084</v>
      </c>
      <c r="C109" s="14">
        <f t="shared" si="17"/>
        <v>64.363185512271087</v>
      </c>
      <c r="D109" s="13">
        <f t="shared" si="18"/>
        <v>45511.644934494638</v>
      </c>
      <c r="E109" s="14">
        <f t="shared" si="19"/>
        <v>45.51164493449464</v>
      </c>
      <c r="F109" s="1">
        <f t="shared" si="20"/>
        <v>25000000</v>
      </c>
      <c r="G109" s="1">
        <f t="shared" si="21"/>
        <v>11.991698319999999</v>
      </c>
      <c r="H109" s="1">
        <f t="shared" si="22"/>
        <v>1.3216569925642219E-5</v>
      </c>
      <c r="I109" s="1">
        <f t="shared" si="23"/>
        <v>5.9291962138828952E-2</v>
      </c>
      <c r="J109" s="1">
        <f t="shared" si="24"/>
        <v>0.93070399847853147</v>
      </c>
      <c r="K109" s="1">
        <f t="shared" si="25"/>
        <v>0.98999596061736039</v>
      </c>
      <c r="L109" s="1">
        <f t="shared" si="26"/>
        <v>388.42079988775038</v>
      </c>
      <c r="O109">
        <f t="shared" si="15"/>
        <v>25</v>
      </c>
      <c r="P109">
        <f t="shared" si="28"/>
        <v>64363.185512271084</v>
      </c>
      <c r="Q109">
        <f t="shared" si="29"/>
        <v>45511.644934494638</v>
      </c>
    </row>
    <row r="110" spans="1:17">
      <c r="A110" s="12">
        <f t="shared" si="27"/>
        <v>25.25</v>
      </c>
      <c r="B110" s="13">
        <f t="shared" si="16"/>
        <v>66839.295264062559</v>
      </c>
      <c r="C110" s="14">
        <f t="shared" si="17"/>
        <v>66.839295264062557</v>
      </c>
      <c r="D110" s="13">
        <f t="shared" si="18"/>
        <v>47262.518930948529</v>
      </c>
      <c r="E110" s="14">
        <f t="shared" si="19"/>
        <v>47.262518930948531</v>
      </c>
      <c r="F110" s="1">
        <f t="shared" si="20"/>
        <v>25250000</v>
      </c>
      <c r="G110" s="1">
        <f t="shared" si="21"/>
        <v>11.872968633663366</v>
      </c>
      <c r="H110" s="1">
        <f t="shared" si="22"/>
        <v>1.3150978603024876E-5</v>
      </c>
      <c r="I110" s="1">
        <f t="shared" si="23"/>
        <v>5.9587684482744006E-2</v>
      </c>
      <c r="J110" s="1">
        <f t="shared" si="24"/>
        <v>0.96849431293979382</v>
      </c>
      <c r="K110" s="1">
        <f t="shared" si="25"/>
        <v>1.0280819974225379</v>
      </c>
      <c r="L110" s="1">
        <f t="shared" si="26"/>
        <v>377.77178679464851</v>
      </c>
      <c r="O110">
        <f t="shared" si="15"/>
        <v>25.25</v>
      </c>
      <c r="P110">
        <f t="shared" si="28"/>
        <v>66839.295264062559</v>
      </c>
      <c r="Q110">
        <f t="shared" si="29"/>
        <v>47262.518930948529</v>
      </c>
    </row>
    <row r="111" spans="1:17">
      <c r="A111" s="12">
        <f t="shared" si="27"/>
        <v>25.5</v>
      </c>
      <c r="B111" s="13">
        <f t="shared" si="16"/>
        <v>69389.380826955705</v>
      </c>
      <c r="C111" s="14">
        <f t="shared" si="17"/>
        <v>69.389380826955701</v>
      </c>
      <c r="D111" s="13">
        <f t="shared" si="18"/>
        <v>49065.701725076186</v>
      </c>
      <c r="E111" s="14">
        <f t="shared" si="19"/>
        <v>49.065701725076188</v>
      </c>
      <c r="F111" s="1">
        <f t="shared" si="20"/>
        <v>25500000</v>
      </c>
      <c r="G111" s="1">
        <f t="shared" si="21"/>
        <v>11.756566980392156</v>
      </c>
      <c r="H111" s="1">
        <f t="shared" si="22"/>
        <v>1.3086354238454049E-5</v>
      </c>
      <c r="I111" s="1">
        <f t="shared" si="23"/>
        <v>5.9881946442628044E-2</v>
      </c>
      <c r="J111" s="1">
        <f t="shared" si="24"/>
        <v>1.0074239393937539</v>
      </c>
      <c r="K111" s="1">
        <f t="shared" si="25"/>
        <v>1.067305885836382</v>
      </c>
      <c r="L111" s="1">
        <f t="shared" si="26"/>
        <v>367.49138983661328</v>
      </c>
      <c r="O111">
        <f t="shared" si="15"/>
        <v>25.5</v>
      </c>
      <c r="P111">
        <f t="shared" si="28"/>
        <v>69389.380826955705</v>
      </c>
      <c r="Q111">
        <f t="shared" si="29"/>
        <v>49065.701725076186</v>
      </c>
    </row>
    <row r="112" spans="1:17">
      <c r="A112" s="12">
        <f t="shared" si="27"/>
        <v>25.75</v>
      </c>
      <c r="B112" s="13">
        <f t="shared" si="16"/>
        <v>72014.917578511871</v>
      </c>
      <c r="C112" s="14">
        <f t="shared" si="17"/>
        <v>72.01491757851187</v>
      </c>
      <c r="D112" s="13">
        <f t="shared" si="18"/>
        <v>50922.236566356056</v>
      </c>
      <c r="E112" s="14">
        <f t="shared" si="19"/>
        <v>50.922236566356055</v>
      </c>
      <c r="F112" s="1">
        <f t="shared" si="20"/>
        <v>25750000</v>
      </c>
      <c r="G112" s="1">
        <f t="shared" si="21"/>
        <v>11.642425553398057</v>
      </c>
      <c r="H112" s="1">
        <f t="shared" si="22"/>
        <v>1.3022673304640952E-5</v>
      </c>
      <c r="I112" s="1">
        <f t="shared" si="23"/>
        <v>6.0174769442852848E-2</v>
      </c>
      <c r="J112" s="1">
        <f t="shared" si="24"/>
        <v>1.0475155497898139</v>
      </c>
      <c r="K112" s="1">
        <f t="shared" si="25"/>
        <v>1.1076903192326668</v>
      </c>
      <c r="L112" s="1">
        <f t="shared" si="26"/>
        <v>357.56480554083697</v>
      </c>
      <c r="O112">
        <f t="shared" si="15"/>
        <v>25.75</v>
      </c>
      <c r="P112">
        <f t="shared" si="28"/>
        <v>72014.917578511871</v>
      </c>
      <c r="Q112">
        <f t="shared" si="29"/>
        <v>50922.236566356056</v>
      </c>
    </row>
    <row r="113" spans="1:17">
      <c r="A113" s="12">
        <f t="shared" si="27"/>
        <v>26</v>
      </c>
      <c r="B113" s="13">
        <f t="shared" si="16"/>
        <v>74717.395384581934</v>
      </c>
      <c r="C113" s="14">
        <f t="shared" si="17"/>
        <v>74.717395384581934</v>
      </c>
      <c r="D113" s="13">
        <f t="shared" si="18"/>
        <v>52833.176949034336</v>
      </c>
      <c r="E113" s="14">
        <f t="shared" si="19"/>
        <v>52.833176949034339</v>
      </c>
      <c r="F113" s="1">
        <f t="shared" si="20"/>
        <v>26000000</v>
      </c>
      <c r="G113" s="1">
        <f t="shared" si="21"/>
        <v>11.530479153846153</v>
      </c>
      <c r="H113" s="1">
        <f t="shared" si="22"/>
        <v>1.2959913068002541E-5</v>
      </c>
      <c r="I113" s="1">
        <f t="shared" si="23"/>
        <v>6.046617438901869E-2</v>
      </c>
      <c r="J113" s="1">
        <f t="shared" si="24"/>
        <v>1.0887920394463373</v>
      </c>
      <c r="K113" s="1">
        <f t="shared" si="25"/>
        <v>1.149258213835356</v>
      </c>
      <c r="L113" s="1">
        <f t="shared" si="26"/>
        <v>347.97786869006876</v>
      </c>
      <c r="O113">
        <f t="shared" si="15"/>
        <v>26</v>
      </c>
      <c r="P113">
        <f t="shared" si="28"/>
        <v>74717.395384581934</v>
      </c>
      <c r="Q113">
        <f t="shared" si="29"/>
        <v>52833.176949034336</v>
      </c>
    </row>
    <row r="114" spans="1:17">
      <c r="A114" s="12">
        <f t="shared" si="27"/>
        <v>26.25</v>
      </c>
      <c r="B114" s="13">
        <f t="shared" si="16"/>
        <v>77498.318600438448</v>
      </c>
      <c r="C114" s="14">
        <f t="shared" si="17"/>
        <v>77.498318600438452</v>
      </c>
      <c r="D114" s="13">
        <f t="shared" si="18"/>
        <v>54799.586612925581</v>
      </c>
      <c r="E114" s="14">
        <f t="shared" si="19"/>
        <v>54.79958661292558</v>
      </c>
      <c r="F114" s="1">
        <f t="shared" si="20"/>
        <v>26250000</v>
      </c>
      <c r="G114" s="1">
        <f t="shared" si="21"/>
        <v>11.420665066666666</v>
      </c>
      <c r="H114" s="1">
        <f t="shared" si="22"/>
        <v>1.289805155456363E-5</v>
      </c>
      <c r="I114" s="1">
        <f t="shared" si="23"/>
        <v>6.0756181685372092E-2</v>
      </c>
      <c r="J114" s="1">
        <f t="shared" si="24"/>
        <v>1.1312765270506457</v>
      </c>
      <c r="K114" s="1">
        <f t="shared" si="25"/>
        <v>1.1920327087360179</v>
      </c>
      <c r="L114" s="1">
        <f t="shared" si="26"/>
        <v>338.71702604721401</v>
      </c>
      <c r="O114">
        <f t="shared" si="15"/>
        <v>26.25</v>
      </c>
      <c r="P114">
        <f t="shared" si="28"/>
        <v>77498.318600438448</v>
      </c>
      <c r="Q114">
        <f t="shared" si="29"/>
        <v>54799.586612925581</v>
      </c>
    </row>
    <row r="115" spans="1:17">
      <c r="A115" s="12">
        <f t="shared" si="27"/>
        <v>26.5</v>
      </c>
      <c r="B115" s="13">
        <f t="shared" si="16"/>
        <v>80359.206071859779</v>
      </c>
      <c r="C115" s="14">
        <f t="shared" si="17"/>
        <v>80.359206071859774</v>
      </c>
      <c r="D115" s="13">
        <f t="shared" si="18"/>
        <v>56822.539544179235</v>
      </c>
      <c r="E115" s="14">
        <f t="shared" si="19"/>
        <v>56.822539544179236</v>
      </c>
      <c r="F115" s="1">
        <f t="shared" si="20"/>
        <v>26500000</v>
      </c>
      <c r="G115" s="1">
        <f t="shared" si="21"/>
        <v>11.312922943396227</v>
      </c>
      <c r="H115" s="1">
        <f t="shared" si="22"/>
        <v>1.2837067517632484E-5</v>
      </c>
      <c r="I115" s="1">
        <f t="shared" si="23"/>
        <v>6.1044811251478752E-2</v>
      </c>
      <c r="J115" s="1">
        <f t="shared" si="24"/>
        <v>1.1749923546590206</v>
      </c>
      <c r="K115" s="1">
        <f t="shared" si="25"/>
        <v>1.2360371659104994</v>
      </c>
      <c r="L115" s="1">
        <f t="shared" si="26"/>
        <v>329.76931076574908</v>
      </c>
      <c r="O115">
        <f t="shared" si="15"/>
        <v>26.5</v>
      </c>
      <c r="P115">
        <f t="shared" si="28"/>
        <v>80359.206071859779</v>
      </c>
      <c r="Q115">
        <f t="shared" si="29"/>
        <v>56822.539544179235</v>
      </c>
    </row>
    <row r="116" spans="1:17">
      <c r="A116" s="12">
        <f t="shared" si="27"/>
        <v>26.75</v>
      </c>
      <c r="B116" s="13">
        <f t="shared" si="16"/>
        <v>83301.591136168267</v>
      </c>
      <c r="C116" s="14">
        <f t="shared" si="17"/>
        <v>83.30159113616827</v>
      </c>
      <c r="D116" s="13">
        <f t="shared" si="18"/>
        <v>58903.119976013782</v>
      </c>
      <c r="E116" s="14">
        <f t="shared" si="19"/>
        <v>58.903119976013784</v>
      </c>
      <c r="F116" s="1">
        <f t="shared" si="20"/>
        <v>26750000</v>
      </c>
      <c r="G116" s="1">
        <f t="shared" si="21"/>
        <v>11.207194691588786</v>
      </c>
      <c r="H116" s="1">
        <f t="shared" si="22"/>
        <v>1.2776940407141865E-5</v>
      </c>
      <c r="I116" s="1">
        <f t="shared" si="23"/>
        <v>6.1332082538190315E-2</v>
      </c>
      <c r="J116" s="1">
        <f t="shared" si="24"/>
        <v>1.2199630876967047</v>
      </c>
      <c r="K116" s="1">
        <f t="shared" si="25"/>
        <v>1.2812951702348949</v>
      </c>
      <c r="L116" s="1">
        <f t="shared" si="26"/>
        <v>321.1223175350076</v>
      </c>
      <c r="O116">
        <f t="shared" si="15"/>
        <v>26.75</v>
      </c>
      <c r="P116">
        <f t="shared" si="28"/>
        <v>83301.591136168267</v>
      </c>
      <c r="Q116">
        <f t="shared" si="29"/>
        <v>58903.119976013782</v>
      </c>
    </row>
    <row r="117" spans="1:17">
      <c r="A117" s="12">
        <f t="shared" si="27"/>
        <v>27</v>
      </c>
      <c r="B117" s="13">
        <f t="shared" si="16"/>
        <v>86327.021623224369</v>
      </c>
      <c r="C117" s="14">
        <f t="shared" si="17"/>
        <v>86.327021623224368</v>
      </c>
      <c r="D117" s="13">
        <f t="shared" si="18"/>
        <v>61042.422389419677</v>
      </c>
      <c r="E117" s="14">
        <f t="shared" si="19"/>
        <v>61.042422389419677</v>
      </c>
      <c r="F117" s="1">
        <f t="shared" si="20"/>
        <v>27000000</v>
      </c>
      <c r="G117" s="1">
        <f t="shared" si="21"/>
        <v>11.103424370370371</v>
      </c>
      <c r="H117" s="1">
        <f t="shared" si="22"/>
        <v>1.2717650340555077E-5</v>
      </c>
      <c r="I117" s="1">
        <f t="shared" si="23"/>
        <v>6.1618014542941198E-2</v>
      </c>
      <c r="J117" s="1">
        <f t="shared" si="24"/>
        <v>1.2662125149578982</v>
      </c>
      <c r="K117" s="1">
        <f t="shared" si="25"/>
        <v>1.3278305295008395</v>
      </c>
      <c r="L117" s="1">
        <f t="shared" si="26"/>
        <v>312.76417849606719</v>
      </c>
      <c r="O117">
        <f t="shared" si="15"/>
        <v>27</v>
      </c>
      <c r="P117">
        <f t="shared" si="28"/>
        <v>86327.021623224369</v>
      </c>
      <c r="Q117">
        <f t="shared" si="29"/>
        <v>61042.422389419677</v>
      </c>
    </row>
    <row r="118" spans="1:17">
      <c r="A118" s="12">
        <f t="shared" si="27"/>
        <v>27.25</v>
      </c>
      <c r="B118" s="13">
        <f t="shared" si="16"/>
        <v>89437.059856380205</v>
      </c>
      <c r="C118" s="14">
        <f t="shared" si="17"/>
        <v>89.437059856380202</v>
      </c>
      <c r="D118" s="13">
        <f t="shared" si="18"/>
        <v>63241.551513833598</v>
      </c>
      <c r="E118" s="14">
        <f t="shared" si="19"/>
        <v>63.241551513833599</v>
      </c>
      <c r="F118" s="1">
        <f t="shared" si="20"/>
        <v>27250000</v>
      </c>
      <c r="G118" s="1">
        <f t="shared" si="21"/>
        <v>11.001558091743119</v>
      </c>
      <c r="H118" s="1">
        <f t="shared" si="22"/>
        <v>1.2659178075243474E-5</v>
      </c>
      <c r="I118" s="1">
        <f t="shared" si="23"/>
        <v>6.1902625824409391E-2</v>
      </c>
      <c r="J118" s="1">
        <f t="shared" si="24"/>
        <v>1.3137646486057628</v>
      </c>
      <c r="K118" s="1">
        <f t="shared" si="25"/>
        <v>1.3756672744301721</v>
      </c>
      <c r="L118" s="1">
        <f t="shared" si="26"/>
        <v>304.68353995266153</v>
      </c>
      <c r="O118">
        <f t="shared" si="15"/>
        <v>27.25</v>
      </c>
      <c r="P118">
        <f t="shared" si="28"/>
        <v>89437.059856380205</v>
      </c>
      <c r="Q118">
        <f t="shared" si="29"/>
        <v>63241.551513833598</v>
      </c>
    </row>
    <row r="119" spans="1:17">
      <c r="A119" s="12">
        <f t="shared" si="27"/>
        <v>27.5</v>
      </c>
      <c r="B119" s="13">
        <f t="shared" si="16"/>
        <v>92633.282653393122</v>
      </c>
      <c r="C119" s="14">
        <f t="shared" si="17"/>
        <v>92.633282653393124</v>
      </c>
      <c r="D119" s="13">
        <f t="shared" si="18"/>
        <v>65501.622327784462</v>
      </c>
      <c r="E119" s="14">
        <f t="shared" si="19"/>
        <v>65.50162232778446</v>
      </c>
      <c r="F119" s="1">
        <f t="shared" si="20"/>
        <v>27500000</v>
      </c>
      <c r="G119" s="1">
        <f t="shared" si="21"/>
        <v>10.901543927272728</v>
      </c>
      <c r="H119" s="1">
        <f t="shared" si="22"/>
        <v>1.2601504982248254E-5</v>
      </c>
      <c r="I119" s="1">
        <f t="shared" si="23"/>
        <v>6.2185934516573435E-2</v>
      </c>
      <c r="J119" s="1">
        <f t="shared" si="24"/>
        <v>1.3626437241724174</v>
      </c>
      <c r="K119" s="1">
        <f t="shared" si="25"/>
        <v>1.4248296586889908</v>
      </c>
      <c r="L119" s="1">
        <f t="shared" si="26"/>
        <v>296.86953989201726</v>
      </c>
      <c r="O119">
        <f t="shared" si="15"/>
        <v>27.5</v>
      </c>
      <c r="P119">
        <f t="shared" si="28"/>
        <v>92633.282653393122</v>
      </c>
      <c r="Q119">
        <f t="shared" si="29"/>
        <v>65501.622327784462</v>
      </c>
    </row>
    <row r="120" spans="1:17">
      <c r="A120" s="12">
        <f t="shared" si="27"/>
        <v>27.75</v>
      </c>
      <c r="B120" s="13">
        <f t="shared" si="16"/>
        <v>95917.281327302626</v>
      </c>
      <c r="C120" s="14">
        <f t="shared" si="17"/>
        <v>95.917281327302632</v>
      </c>
      <c r="D120" s="13">
        <f t="shared" si="18"/>
        <v>67823.760059513501</v>
      </c>
      <c r="E120" s="14">
        <f t="shared" si="19"/>
        <v>67.823760059513504</v>
      </c>
      <c r="F120" s="1">
        <f t="shared" si="20"/>
        <v>27750000</v>
      </c>
      <c r="G120" s="1">
        <f t="shared" si="21"/>
        <v>10.803331819819819</v>
      </c>
      <c r="H120" s="1">
        <f t="shared" si="22"/>
        <v>1.2544613021345321E-5</v>
      </c>
      <c r="I120" s="1">
        <f t="shared" si="23"/>
        <v>6.2467958342195588E-2</v>
      </c>
      <c r="J120" s="1">
        <f t="shared" si="24"/>
        <v>1.4128742005589441</v>
      </c>
      <c r="K120" s="1">
        <f t="shared" si="25"/>
        <v>1.4753421589011397</v>
      </c>
      <c r="L120" s="1">
        <f t="shared" si="26"/>
        <v>289.31178632250317</v>
      </c>
      <c r="O120">
        <f t="shared" si="15"/>
        <v>27.75</v>
      </c>
      <c r="P120">
        <f t="shared" si="28"/>
        <v>95917.281327302626</v>
      </c>
      <c r="Q120">
        <f t="shared" si="29"/>
        <v>67823.760059513501</v>
      </c>
    </row>
    <row r="121" spans="1:17">
      <c r="A121" s="12">
        <f t="shared" si="27"/>
        <v>28</v>
      </c>
      <c r="B121" s="13">
        <f t="shared" si="16"/>
        <v>99290.661687270986</v>
      </c>
      <c r="C121" s="14">
        <f t="shared" si="17"/>
        <v>99.290661687270983</v>
      </c>
      <c r="D121" s="13">
        <f t="shared" si="18"/>
        <v>70209.100187568649</v>
      </c>
      <c r="E121" s="14">
        <f t="shared" si="19"/>
        <v>70.209100187568652</v>
      </c>
      <c r="F121" s="1">
        <f t="shared" si="20"/>
        <v>28000000</v>
      </c>
      <c r="G121" s="1">
        <f t="shared" si="21"/>
        <v>10.7068735</v>
      </c>
      <c r="H121" s="1">
        <f t="shared" si="22"/>
        <v>1.2488484717337406E-5</v>
      </c>
      <c r="I121" s="1">
        <f t="shared" si="23"/>
        <v>6.2748714625759511E-2</v>
      </c>
      <c r="J121" s="1">
        <f t="shared" si="24"/>
        <v>1.4644807600353795</v>
      </c>
      <c r="K121" s="1">
        <f t="shared" si="25"/>
        <v>1.527229474661139</v>
      </c>
      <c r="L121" s="1">
        <f t="shared" si="26"/>
        <v>282.00033642831073</v>
      </c>
      <c r="O121">
        <f t="shared" si="15"/>
        <v>28</v>
      </c>
      <c r="P121">
        <f t="shared" si="28"/>
        <v>99290.661687270986</v>
      </c>
      <c r="Q121">
        <f t="shared" si="29"/>
        <v>70209.100187568649</v>
      </c>
    </row>
    <row r="122" spans="1:17">
      <c r="A122" s="12">
        <f t="shared" si="27"/>
        <v>28.25</v>
      </c>
      <c r="B122" s="13">
        <f t="shared" si="16"/>
        <v>102755.04403939142</v>
      </c>
      <c r="C122" s="14">
        <f t="shared" si="17"/>
        <v>102.75504403939142</v>
      </c>
      <c r="D122" s="13">
        <f t="shared" si="18"/>
        <v>72658.788441376004</v>
      </c>
      <c r="E122" s="14">
        <f t="shared" si="19"/>
        <v>72.658788441376004</v>
      </c>
      <c r="F122" s="1">
        <f t="shared" si="20"/>
        <v>28250000</v>
      </c>
      <c r="G122" s="1">
        <f t="shared" si="21"/>
        <v>10.612122407079646</v>
      </c>
      <c r="H122" s="1">
        <f t="shared" si="22"/>
        <v>1.2433103137502683E-5</v>
      </c>
      <c r="I122" s="1">
        <f t="shared" si="23"/>
        <v>6.3028220305889407E-2</v>
      </c>
      <c r="J122" s="1">
        <f t="shared" si="24"/>
        <v>1.5174883082407258</v>
      </c>
      <c r="K122" s="1">
        <f t="shared" si="25"/>
        <v>1.5805165285466152</v>
      </c>
      <c r="L122" s="1">
        <f t="shared" si="26"/>
        <v>274.92567653584274</v>
      </c>
      <c r="O122">
        <f t="shared" si="15"/>
        <v>28.25</v>
      </c>
      <c r="P122">
        <f t="shared" si="28"/>
        <v>102755.04403939142</v>
      </c>
      <c r="Q122">
        <f t="shared" si="29"/>
        <v>72658.788441376004</v>
      </c>
    </row>
    <row r="123" spans="1:17">
      <c r="A123" s="12">
        <f t="shared" si="27"/>
        <v>28.5</v>
      </c>
      <c r="B123" s="13">
        <f t="shared" si="16"/>
        <v>106312.06318746261</v>
      </c>
      <c r="C123" s="14">
        <f t="shared" si="17"/>
        <v>106.31206318746261</v>
      </c>
      <c r="D123" s="13">
        <f t="shared" si="18"/>
        <v>75173.980801787548</v>
      </c>
      <c r="E123" s="14">
        <f t="shared" si="19"/>
        <v>75.17398080178755</v>
      </c>
      <c r="F123" s="1">
        <f t="shared" si="20"/>
        <v>28500000</v>
      </c>
      <c r="G123" s="1">
        <f t="shared" si="21"/>
        <v>10.519033614035088</v>
      </c>
      <c r="H123" s="1">
        <f t="shared" si="22"/>
        <v>1.2378451870133826E-5</v>
      </c>
      <c r="I123" s="1">
        <f t="shared" si="23"/>
        <v>6.3306491947275459E-2</v>
      </c>
      <c r="J123" s="1">
        <f t="shared" si="24"/>
        <v>1.5719219741829402</v>
      </c>
      <c r="K123" s="1">
        <f t="shared" si="25"/>
        <v>1.6352284661302157</v>
      </c>
      <c r="L123" s="1">
        <f t="shared" si="26"/>
        <v>268.07870288196051</v>
      </c>
      <c r="O123">
        <f t="shared" si="15"/>
        <v>28.5</v>
      </c>
      <c r="P123">
        <f t="shared" si="28"/>
        <v>106312.06318746261</v>
      </c>
      <c r="Q123">
        <f t="shared" si="29"/>
        <v>75173.980801787548</v>
      </c>
    </row>
    <row r="124" spans="1:17">
      <c r="A124" s="12">
        <f t="shared" si="27"/>
        <v>28.75</v>
      </c>
      <c r="B124" s="13">
        <f t="shared" si="16"/>
        <v>109963.36843373402</v>
      </c>
      <c r="C124" s="14">
        <f t="shared" si="17"/>
        <v>109.96336843373402</v>
      </c>
      <c r="D124" s="13">
        <f t="shared" si="18"/>
        <v>77755.843501608077</v>
      </c>
      <c r="E124" s="14">
        <f t="shared" si="19"/>
        <v>77.755843501608084</v>
      </c>
      <c r="F124" s="1">
        <f t="shared" si="20"/>
        <v>28750000</v>
      </c>
      <c r="G124" s="1">
        <f t="shared" si="21"/>
        <v>10.427563756521739</v>
      </c>
      <c r="H124" s="1">
        <f t="shared" si="22"/>
        <v>1.2324515004105694E-5</v>
      </c>
      <c r="I124" s="1">
        <f t="shared" si="23"/>
        <v>6.3583545752129739E-2</v>
      </c>
      <c r="J124" s="1">
        <f t="shared" si="24"/>
        <v>1.6278071102389422</v>
      </c>
      <c r="K124" s="1">
        <f t="shared" si="25"/>
        <v>1.6913906559910719</v>
      </c>
      <c r="L124" s="1">
        <f t="shared" si="26"/>
        <v>261.4507031705316</v>
      </c>
      <c r="O124">
        <f t="shared" si="15"/>
        <v>28.75</v>
      </c>
      <c r="P124">
        <f t="shared" si="28"/>
        <v>109963.36843373402</v>
      </c>
      <c r="Q124">
        <f t="shared" si="29"/>
        <v>77755.843501608077</v>
      </c>
    </row>
    <row r="125" spans="1:17">
      <c r="A125" s="12">
        <f t="shared" si="27"/>
        <v>29</v>
      </c>
      <c r="B125" s="13">
        <f t="shared" si="16"/>
        <v>113710.62357962139</v>
      </c>
      <c r="C125" s="14">
        <f t="shared" si="17"/>
        <v>113.71062357962138</v>
      </c>
      <c r="D125" s="13">
        <f t="shared" si="18"/>
        <v>80405.553026101217</v>
      </c>
      <c r="E125" s="14">
        <f t="shared" si="19"/>
        <v>80.405553026101217</v>
      </c>
      <c r="F125" s="1">
        <f t="shared" si="20"/>
        <v>29000000</v>
      </c>
      <c r="G125" s="1">
        <f t="shared" si="21"/>
        <v>10.337670965517241</v>
      </c>
      <c r="H125" s="1">
        <f t="shared" si="22"/>
        <v>1.2271277109413923E-5</v>
      </c>
      <c r="I125" s="1">
        <f t="shared" si="23"/>
        <v>6.3859397571194632E-2</v>
      </c>
      <c r="J125" s="1">
        <f t="shared" si="24"/>
        <v>1.6851692921546098</v>
      </c>
      <c r="K125" s="1">
        <f t="shared" si="25"/>
        <v>1.7490286897258045</v>
      </c>
      <c r="L125" s="1">
        <f t="shared" si="26"/>
        <v>255.03333890077465</v>
      </c>
      <c r="O125">
        <f t="shared" si="15"/>
        <v>29</v>
      </c>
      <c r="P125">
        <f t="shared" si="28"/>
        <v>113710.62357962139</v>
      </c>
      <c r="Q125">
        <f t="shared" si="29"/>
        <v>80405.553026101217</v>
      </c>
    </row>
    <row r="126" spans="1:17">
      <c r="A126" s="12">
        <f t="shared" si="27"/>
        <v>29.25</v>
      </c>
      <c r="B126" s="13">
        <f t="shared" si="16"/>
        <v>117555.50692639469</v>
      </c>
      <c r="C126" s="14">
        <f t="shared" si="17"/>
        <v>117.5555069263947</v>
      </c>
      <c r="D126" s="13">
        <f t="shared" si="18"/>
        <v>83124.296113475852</v>
      </c>
      <c r="E126" s="14">
        <f t="shared" si="19"/>
        <v>83.12429611347585</v>
      </c>
      <c r="F126" s="1">
        <f t="shared" si="20"/>
        <v>29250000</v>
      </c>
      <c r="G126" s="1">
        <f t="shared" si="21"/>
        <v>10.249314803418804</v>
      </c>
      <c r="H126" s="1">
        <f t="shared" si="22"/>
        <v>1.2218723218630334E-5</v>
      </c>
      <c r="I126" s="1">
        <f t="shared" si="23"/>
        <v>6.4134062914325191E-2</v>
      </c>
      <c r="J126" s="1">
        <f t="shared" si="24"/>
        <v>1.7440343190447793</v>
      </c>
      <c r="K126" s="1">
        <f t="shared" si="25"/>
        <v>1.8081683819591046</v>
      </c>
      <c r="L126" s="1">
        <f t="shared" si="26"/>
        <v>248.81862844855385</v>
      </c>
      <c r="O126">
        <f t="shared" si="15"/>
        <v>29.25</v>
      </c>
      <c r="P126">
        <f t="shared" si="28"/>
        <v>117555.50692639469</v>
      </c>
      <c r="Q126">
        <f t="shared" si="29"/>
        <v>83124.296113475852</v>
      </c>
    </row>
    <row r="127" spans="1:17">
      <c r="A127" s="12">
        <f t="shared" si="27"/>
        <v>29.5</v>
      </c>
      <c r="B127" s="13">
        <f t="shared" si="16"/>
        <v>121499.71127583999</v>
      </c>
      <c r="C127" s="14">
        <f t="shared" si="17"/>
        <v>121.49971127583999</v>
      </c>
      <c r="D127" s="13">
        <f t="shared" si="18"/>
        <v>85913.269755354093</v>
      </c>
      <c r="E127" s="14">
        <f t="shared" si="19"/>
        <v>85.913269755354094</v>
      </c>
      <c r="F127" s="1">
        <f t="shared" si="20"/>
        <v>29500000</v>
      </c>
      <c r="G127" s="1">
        <f t="shared" si="21"/>
        <v>10.16245620338983</v>
      </c>
      <c r="H127" s="1">
        <f t="shared" si="22"/>
        <v>1.2166838809224555E-5</v>
      </c>
      <c r="I127" s="1">
        <f t="shared" si="23"/>
        <v>6.4407556960665316E-2</v>
      </c>
      <c r="J127" s="1">
        <f t="shared" si="24"/>
        <v>1.8044282133932512</v>
      </c>
      <c r="K127" s="1">
        <f t="shared" si="25"/>
        <v>1.8688357703539165</v>
      </c>
      <c r="L127" s="1">
        <f t="shared" si="26"/>
        <v>242.79893087997834</v>
      </c>
      <c r="O127">
        <f t="shared" si="15"/>
        <v>29.5</v>
      </c>
      <c r="P127">
        <f t="shared" si="28"/>
        <v>121499.71127583999</v>
      </c>
      <c r="Q127">
        <f t="shared" si="29"/>
        <v>85913.269755354093</v>
      </c>
    </row>
    <row r="128" spans="1:17">
      <c r="A128" s="12" t="str">
        <f t="shared" si="27"/>
        <v/>
      </c>
      <c r="B128" s="13" t="str">
        <f t="shared" si="16"/>
        <v/>
      </c>
      <c r="C128" s="14" t="str">
        <f t="shared" si="17"/>
        <v/>
      </c>
      <c r="D128" s="13" t="str">
        <f t="shared" si="18"/>
        <v/>
      </c>
      <c r="E128" s="14" t="str">
        <f t="shared" si="19"/>
        <v/>
      </c>
      <c r="F128" s="1" t="str">
        <f t="shared" si="20"/>
        <v/>
      </c>
      <c r="G128" s="1" t="str">
        <f t="shared" si="21"/>
        <v/>
      </c>
      <c r="H128" s="1" t="str">
        <f t="shared" si="22"/>
        <v/>
      </c>
      <c r="I128" s="1" t="str">
        <f t="shared" si="23"/>
        <v/>
      </c>
      <c r="J128" s="1" t="str">
        <f t="shared" si="24"/>
        <v/>
      </c>
      <c r="K128" s="1" t="str">
        <f t="shared" si="25"/>
        <v/>
      </c>
      <c r="L128" s="1" t="str">
        <f t="shared" si="26"/>
        <v/>
      </c>
      <c r="O128" t="str">
        <f t="shared" si="15"/>
        <v/>
      </c>
    </row>
    <row r="129" spans="1:15">
      <c r="A129" s="12" t="str">
        <f t="shared" si="27"/>
        <v/>
      </c>
      <c r="B129" s="13" t="str">
        <f t="shared" si="16"/>
        <v/>
      </c>
      <c r="C129" s="14" t="str">
        <f t="shared" si="17"/>
        <v/>
      </c>
      <c r="D129" s="13" t="str">
        <f t="shared" si="18"/>
        <v/>
      </c>
      <c r="E129" s="14" t="str">
        <f t="shared" si="19"/>
        <v/>
      </c>
      <c r="F129" s="1" t="str">
        <f t="shared" si="20"/>
        <v/>
      </c>
      <c r="G129" s="1" t="str">
        <f t="shared" si="21"/>
        <v/>
      </c>
      <c r="H129" s="1" t="str">
        <f t="shared" si="22"/>
        <v/>
      </c>
      <c r="I129" s="1" t="str">
        <f t="shared" si="23"/>
        <v/>
      </c>
      <c r="J129" s="1" t="str">
        <f t="shared" si="24"/>
        <v/>
      </c>
      <c r="K129" s="1" t="str">
        <f t="shared" si="25"/>
        <v/>
      </c>
      <c r="L129" s="1" t="str">
        <f t="shared" si="26"/>
        <v/>
      </c>
      <c r="O129" t="str">
        <f t="shared" si="15"/>
        <v/>
      </c>
    </row>
    <row r="130" spans="1:15">
      <c r="A130" s="12" t="str">
        <f t="shared" si="27"/>
        <v/>
      </c>
      <c r="B130" s="13" t="str">
        <f t="shared" si="16"/>
        <v/>
      </c>
      <c r="C130" s="14" t="str">
        <f t="shared" si="17"/>
        <v/>
      </c>
      <c r="D130" s="13" t="str">
        <f t="shared" si="18"/>
        <v/>
      </c>
      <c r="E130" s="14" t="str">
        <f t="shared" si="19"/>
        <v/>
      </c>
      <c r="F130" s="1" t="str">
        <f t="shared" si="20"/>
        <v/>
      </c>
      <c r="G130" s="1" t="str">
        <f t="shared" si="21"/>
        <v/>
      </c>
      <c r="H130" s="1" t="str">
        <f t="shared" si="22"/>
        <v/>
      </c>
      <c r="I130" s="1" t="str">
        <f t="shared" si="23"/>
        <v/>
      </c>
      <c r="J130" s="1" t="str">
        <f t="shared" si="24"/>
        <v/>
      </c>
      <c r="K130" s="1" t="str">
        <f t="shared" si="25"/>
        <v/>
      </c>
      <c r="L130" s="1" t="str">
        <f t="shared" si="26"/>
        <v/>
      </c>
      <c r="O130" t="str">
        <f t="shared" si="15"/>
        <v/>
      </c>
    </row>
    <row r="131" spans="1:15">
      <c r="A131" s="12" t="str">
        <f t="shared" si="27"/>
        <v/>
      </c>
      <c r="B131" s="13" t="str">
        <f t="shared" si="16"/>
        <v/>
      </c>
      <c r="C131" s="14" t="str">
        <f t="shared" si="17"/>
        <v/>
      </c>
      <c r="D131" s="13" t="str">
        <f t="shared" si="18"/>
        <v/>
      </c>
      <c r="E131" s="14" t="str">
        <f t="shared" si="19"/>
        <v/>
      </c>
      <c r="F131" s="1" t="str">
        <f t="shared" si="20"/>
        <v/>
      </c>
      <c r="G131" s="1" t="str">
        <f t="shared" si="21"/>
        <v/>
      </c>
      <c r="H131" s="1" t="str">
        <f t="shared" si="22"/>
        <v/>
      </c>
      <c r="I131" s="1" t="str">
        <f t="shared" si="23"/>
        <v/>
      </c>
      <c r="J131" s="1" t="str">
        <f t="shared" si="24"/>
        <v/>
      </c>
      <c r="K131" s="1" t="str">
        <f t="shared" si="25"/>
        <v/>
      </c>
      <c r="L131" s="1" t="str">
        <f t="shared" si="26"/>
        <v/>
      </c>
      <c r="O131" t="str">
        <f t="shared" si="15"/>
        <v/>
      </c>
    </row>
    <row r="132" spans="1:15">
      <c r="A132" s="12" t="str">
        <f t="shared" si="27"/>
        <v/>
      </c>
      <c r="B132" s="13" t="str">
        <f t="shared" si="16"/>
        <v/>
      </c>
      <c r="C132" s="14" t="str">
        <f t="shared" si="17"/>
        <v/>
      </c>
      <c r="D132" s="13" t="str">
        <f t="shared" si="18"/>
        <v/>
      </c>
      <c r="E132" s="14" t="str">
        <f t="shared" si="19"/>
        <v/>
      </c>
      <c r="F132" s="1" t="str">
        <f t="shared" si="20"/>
        <v/>
      </c>
      <c r="G132" s="1" t="str">
        <f t="shared" si="21"/>
        <v/>
      </c>
      <c r="H132" s="1" t="str">
        <f t="shared" si="22"/>
        <v/>
      </c>
      <c r="I132" s="1" t="str">
        <f t="shared" si="23"/>
        <v/>
      </c>
      <c r="J132" s="1" t="str">
        <f t="shared" si="24"/>
        <v/>
      </c>
      <c r="K132" s="1" t="str">
        <f t="shared" si="25"/>
        <v/>
      </c>
      <c r="L132" s="1" t="str">
        <f t="shared" si="26"/>
        <v/>
      </c>
      <c r="O132" t="str">
        <f t="shared" si="15"/>
        <v/>
      </c>
    </row>
    <row r="133" spans="1:15">
      <c r="A133" s="12" t="str">
        <f t="shared" si="27"/>
        <v/>
      </c>
      <c r="B133" s="13" t="str">
        <f t="shared" si="16"/>
        <v/>
      </c>
      <c r="C133" s="14" t="str">
        <f t="shared" si="17"/>
        <v/>
      </c>
      <c r="D133" s="13" t="str">
        <f t="shared" si="18"/>
        <v/>
      </c>
      <c r="E133" s="14" t="str">
        <f t="shared" si="19"/>
        <v/>
      </c>
      <c r="F133" s="1" t="str">
        <f t="shared" si="20"/>
        <v/>
      </c>
      <c r="G133" s="1" t="str">
        <f t="shared" si="21"/>
        <v/>
      </c>
      <c r="H133" s="1" t="str">
        <f t="shared" si="22"/>
        <v/>
      </c>
      <c r="I133" s="1" t="str">
        <f t="shared" si="23"/>
        <v/>
      </c>
      <c r="J133" s="1" t="str">
        <f t="shared" si="24"/>
        <v/>
      </c>
      <c r="K133" s="1" t="str">
        <f t="shared" si="25"/>
        <v/>
      </c>
      <c r="L133" s="1" t="str">
        <f t="shared" si="26"/>
        <v/>
      </c>
      <c r="O133" t="str">
        <f t="shared" si="15"/>
        <v/>
      </c>
    </row>
    <row r="134" spans="1:15">
      <c r="A134" s="12" t="str">
        <f t="shared" si="27"/>
        <v/>
      </c>
      <c r="B134" s="13" t="str">
        <f t="shared" si="16"/>
        <v/>
      </c>
      <c r="C134" s="14" t="str">
        <f t="shared" si="17"/>
        <v/>
      </c>
      <c r="D134" s="13" t="str">
        <f t="shared" si="18"/>
        <v/>
      </c>
      <c r="E134" s="14" t="str">
        <f t="shared" si="19"/>
        <v/>
      </c>
      <c r="F134" s="1" t="str">
        <f t="shared" si="20"/>
        <v/>
      </c>
      <c r="G134" s="1" t="str">
        <f t="shared" si="21"/>
        <v/>
      </c>
      <c r="H134" s="1" t="str">
        <f t="shared" si="22"/>
        <v/>
      </c>
      <c r="I134" s="1" t="str">
        <f t="shared" si="23"/>
        <v/>
      </c>
      <c r="J134" s="1" t="str">
        <f t="shared" si="24"/>
        <v/>
      </c>
      <c r="K134" s="1" t="str">
        <f t="shared" si="25"/>
        <v/>
      </c>
      <c r="L134" s="1" t="str">
        <f t="shared" si="26"/>
        <v/>
      </c>
      <c r="O134" t="str">
        <f t="shared" si="15"/>
        <v/>
      </c>
    </row>
    <row r="135" spans="1:15">
      <c r="A135" s="12" t="str">
        <f t="shared" si="27"/>
        <v/>
      </c>
      <c r="B135" s="13" t="str">
        <f t="shared" si="16"/>
        <v/>
      </c>
      <c r="C135" s="14" t="str">
        <f t="shared" si="17"/>
        <v/>
      </c>
      <c r="D135" s="13" t="str">
        <f t="shared" si="18"/>
        <v/>
      </c>
      <c r="E135" s="14" t="str">
        <f t="shared" si="19"/>
        <v/>
      </c>
      <c r="F135" s="1" t="str">
        <f t="shared" si="20"/>
        <v/>
      </c>
      <c r="G135" s="1" t="str">
        <f t="shared" si="21"/>
        <v/>
      </c>
      <c r="H135" s="1" t="str">
        <f t="shared" si="22"/>
        <v/>
      </c>
      <c r="I135" s="1" t="str">
        <f t="shared" si="23"/>
        <v/>
      </c>
      <c r="J135" s="1" t="str">
        <f t="shared" si="24"/>
        <v/>
      </c>
      <c r="K135" s="1" t="str">
        <f t="shared" si="25"/>
        <v/>
      </c>
      <c r="L135" s="1" t="str">
        <f t="shared" si="26"/>
        <v/>
      </c>
      <c r="O135" t="str">
        <f t="shared" si="15"/>
        <v/>
      </c>
    </row>
    <row r="136" spans="1:15">
      <c r="A136" s="12" t="str">
        <f t="shared" si="27"/>
        <v/>
      </c>
      <c r="B136" s="13" t="str">
        <f t="shared" si="16"/>
        <v/>
      </c>
      <c r="C136" s="14" t="str">
        <f t="shared" si="17"/>
        <v/>
      </c>
      <c r="D136" s="13" t="str">
        <f t="shared" si="18"/>
        <v/>
      </c>
      <c r="E136" s="14" t="str">
        <f t="shared" si="19"/>
        <v/>
      </c>
      <c r="F136" s="1" t="str">
        <f t="shared" si="20"/>
        <v/>
      </c>
      <c r="G136" s="1" t="str">
        <f t="shared" si="21"/>
        <v/>
      </c>
      <c r="H136" s="1" t="str">
        <f t="shared" si="22"/>
        <v/>
      </c>
      <c r="I136" s="1" t="str">
        <f t="shared" si="23"/>
        <v/>
      </c>
      <c r="J136" s="1" t="str">
        <f t="shared" si="24"/>
        <v/>
      </c>
      <c r="K136" s="1" t="str">
        <f t="shared" si="25"/>
        <v/>
      </c>
      <c r="L136" s="1" t="str">
        <f t="shared" si="26"/>
        <v/>
      </c>
      <c r="O136" t="str">
        <f t="shared" si="15"/>
        <v/>
      </c>
    </row>
    <row r="137" spans="1:15">
      <c r="A137" s="12" t="str">
        <f t="shared" si="27"/>
        <v/>
      </c>
      <c r="B137" s="13" t="str">
        <f t="shared" si="16"/>
        <v/>
      </c>
      <c r="C137" s="14" t="str">
        <f t="shared" si="17"/>
        <v/>
      </c>
      <c r="D137" s="13" t="str">
        <f t="shared" si="18"/>
        <v/>
      </c>
      <c r="E137" s="14" t="str">
        <f t="shared" si="19"/>
        <v/>
      </c>
      <c r="F137" s="1" t="str">
        <f t="shared" si="20"/>
        <v/>
      </c>
      <c r="G137" s="1" t="str">
        <f t="shared" si="21"/>
        <v/>
      </c>
      <c r="H137" s="1" t="str">
        <f t="shared" si="22"/>
        <v/>
      </c>
      <c r="I137" s="1" t="str">
        <f t="shared" si="23"/>
        <v/>
      </c>
      <c r="J137" s="1" t="str">
        <f t="shared" si="24"/>
        <v/>
      </c>
      <c r="K137" s="1" t="str">
        <f t="shared" si="25"/>
        <v/>
      </c>
      <c r="L137" s="1" t="str">
        <f t="shared" si="26"/>
        <v/>
      </c>
      <c r="O137" t="str">
        <f t="shared" si="15"/>
        <v/>
      </c>
    </row>
    <row r="138" spans="1:15">
      <c r="A138" s="12" t="str">
        <f t="shared" si="27"/>
        <v/>
      </c>
      <c r="B138" s="13" t="str">
        <f t="shared" si="16"/>
        <v/>
      </c>
      <c r="C138" s="14" t="str">
        <f t="shared" si="17"/>
        <v/>
      </c>
      <c r="D138" s="13" t="str">
        <f t="shared" si="18"/>
        <v/>
      </c>
      <c r="E138" s="14" t="str">
        <f t="shared" si="19"/>
        <v/>
      </c>
      <c r="F138" s="1" t="str">
        <f t="shared" si="20"/>
        <v/>
      </c>
      <c r="G138" s="1" t="str">
        <f t="shared" si="21"/>
        <v/>
      </c>
      <c r="H138" s="1" t="str">
        <f t="shared" si="22"/>
        <v/>
      </c>
      <c r="I138" s="1" t="str">
        <f t="shared" si="23"/>
        <v/>
      </c>
      <c r="J138" s="1" t="str">
        <f t="shared" si="24"/>
        <v/>
      </c>
      <c r="K138" s="1" t="str">
        <f t="shared" si="25"/>
        <v/>
      </c>
      <c r="L138" s="1" t="str">
        <f t="shared" si="26"/>
        <v/>
      </c>
      <c r="O138" t="str">
        <f t="shared" si="15"/>
        <v/>
      </c>
    </row>
    <row r="139" spans="1:15">
      <c r="A139" s="12" t="str">
        <f t="shared" si="27"/>
        <v/>
      </c>
      <c r="B139" s="13" t="str">
        <f t="shared" si="16"/>
        <v/>
      </c>
      <c r="C139" s="14" t="str">
        <f t="shared" si="17"/>
        <v/>
      </c>
      <c r="D139" s="13" t="str">
        <f t="shared" si="18"/>
        <v/>
      </c>
      <c r="E139" s="14" t="str">
        <f t="shared" si="19"/>
        <v/>
      </c>
      <c r="F139" s="1" t="str">
        <f t="shared" si="20"/>
        <v/>
      </c>
      <c r="G139" s="1" t="str">
        <f t="shared" si="21"/>
        <v/>
      </c>
      <c r="H139" s="1" t="str">
        <f t="shared" si="22"/>
        <v/>
      </c>
      <c r="I139" s="1" t="str">
        <f t="shared" si="23"/>
        <v/>
      </c>
      <c r="J139" s="1" t="str">
        <f t="shared" si="24"/>
        <v/>
      </c>
      <c r="K139" s="1" t="str">
        <f t="shared" si="25"/>
        <v/>
      </c>
      <c r="L139" s="1" t="str">
        <f t="shared" si="26"/>
        <v/>
      </c>
      <c r="O139" t="str">
        <f t="shared" si="15"/>
        <v/>
      </c>
    </row>
    <row r="140" spans="1:15">
      <c r="A140" s="12" t="str">
        <f t="shared" si="27"/>
        <v/>
      </c>
      <c r="B140" s="13" t="str">
        <f t="shared" si="16"/>
        <v/>
      </c>
      <c r="C140" s="14" t="str">
        <f t="shared" si="17"/>
        <v/>
      </c>
      <c r="D140" s="13" t="str">
        <f t="shared" si="18"/>
        <v/>
      </c>
      <c r="E140" s="14" t="str">
        <f t="shared" si="19"/>
        <v/>
      </c>
      <c r="F140" s="1" t="str">
        <f t="shared" si="20"/>
        <v/>
      </c>
      <c r="G140" s="1" t="str">
        <f t="shared" si="21"/>
        <v/>
      </c>
      <c r="H140" s="1" t="str">
        <f t="shared" si="22"/>
        <v/>
      </c>
      <c r="I140" s="1" t="str">
        <f t="shared" si="23"/>
        <v/>
      </c>
      <c r="J140" s="1" t="str">
        <f t="shared" si="24"/>
        <v/>
      </c>
      <c r="K140" s="1" t="str">
        <f t="shared" si="25"/>
        <v/>
      </c>
      <c r="L140" s="1" t="str">
        <f t="shared" si="26"/>
        <v/>
      </c>
      <c r="O140" t="str">
        <f t="shared" si="15"/>
        <v/>
      </c>
    </row>
    <row r="141" spans="1:15">
      <c r="A141" s="12" t="str">
        <f t="shared" si="27"/>
        <v/>
      </c>
      <c r="B141" s="13" t="str">
        <f t="shared" si="16"/>
        <v/>
      </c>
      <c r="C141" s="14" t="str">
        <f t="shared" si="17"/>
        <v/>
      </c>
      <c r="D141" s="13" t="str">
        <f t="shared" si="18"/>
        <v/>
      </c>
      <c r="E141" s="14" t="str">
        <f t="shared" si="19"/>
        <v/>
      </c>
      <c r="F141" s="1" t="str">
        <f t="shared" si="20"/>
        <v/>
      </c>
      <c r="G141" s="1" t="str">
        <f t="shared" si="21"/>
        <v/>
      </c>
      <c r="H141" s="1" t="str">
        <f t="shared" si="22"/>
        <v/>
      </c>
      <c r="I141" s="1" t="str">
        <f t="shared" si="23"/>
        <v/>
      </c>
      <c r="J141" s="1" t="str">
        <f t="shared" si="24"/>
        <v/>
      </c>
      <c r="K141" s="1" t="str">
        <f t="shared" si="25"/>
        <v/>
      </c>
      <c r="L141" s="1" t="str">
        <f t="shared" si="26"/>
        <v/>
      </c>
      <c r="O141" t="str">
        <f t="shared" si="15"/>
        <v/>
      </c>
    </row>
    <row r="142" spans="1:15">
      <c r="A142" s="12" t="str">
        <f t="shared" si="27"/>
        <v/>
      </c>
      <c r="B142" s="13" t="str">
        <f t="shared" si="16"/>
        <v/>
      </c>
      <c r="C142" s="14" t="str">
        <f t="shared" si="17"/>
        <v/>
      </c>
      <c r="D142" s="13" t="str">
        <f t="shared" si="18"/>
        <v/>
      </c>
      <c r="E142" s="14" t="str">
        <f t="shared" si="19"/>
        <v/>
      </c>
      <c r="F142" s="1" t="str">
        <f t="shared" si="20"/>
        <v/>
      </c>
      <c r="G142" s="1" t="str">
        <f t="shared" si="21"/>
        <v/>
      </c>
      <c r="H142" s="1" t="str">
        <f t="shared" si="22"/>
        <v/>
      </c>
      <c r="I142" s="1" t="str">
        <f t="shared" si="23"/>
        <v/>
      </c>
      <c r="J142" s="1" t="str">
        <f t="shared" si="24"/>
        <v/>
      </c>
      <c r="K142" s="1" t="str">
        <f t="shared" si="25"/>
        <v/>
      </c>
      <c r="L142" s="1" t="str">
        <f t="shared" si="26"/>
        <v/>
      </c>
      <c r="O142" t="str">
        <f t="shared" si="15"/>
        <v/>
      </c>
    </row>
    <row r="143" spans="1:15">
      <c r="A143" s="12" t="str">
        <f t="shared" si="27"/>
        <v/>
      </c>
      <c r="B143" s="13" t="str">
        <f t="shared" si="16"/>
        <v/>
      </c>
      <c r="C143" s="14" t="str">
        <f t="shared" si="17"/>
        <v/>
      </c>
      <c r="D143" s="13" t="str">
        <f t="shared" si="18"/>
        <v/>
      </c>
      <c r="E143" s="14" t="str">
        <f t="shared" si="19"/>
        <v/>
      </c>
      <c r="F143" s="1" t="str">
        <f t="shared" si="20"/>
        <v/>
      </c>
      <c r="G143" s="1" t="str">
        <f t="shared" si="21"/>
        <v/>
      </c>
      <c r="H143" s="1" t="str">
        <f t="shared" si="22"/>
        <v/>
      </c>
      <c r="I143" s="1" t="str">
        <f t="shared" si="23"/>
        <v/>
      </c>
      <c r="J143" s="1" t="str">
        <f t="shared" si="24"/>
        <v/>
      </c>
      <c r="K143" s="1" t="str">
        <f t="shared" si="25"/>
        <v/>
      </c>
      <c r="L143" s="1" t="str">
        <f t="shared" si="26"/>
        <v/>
      </c>
      <c r="O143" t="str">
        <f t="shared" si="15"/>
        <v/>
      </c>
    </row>
    <row r="144" spans="1:15">
      <c r="A144" s="12" t="str">
        <f t="shared" si="27"/>
        <v/>
      </c>
      <c r="B144" s="13" t="str">
        <f t="shared" si="16"/>
        <v/>
      </c>
      <c r="C144" s="14" t="str">
        <f t="shared" si="17"/>
        <v/>
      </c>
      <c r="D144" s="13" t="str">
        <f t="shared" si="18"/>
        <v/>
      </c>
      <c r="E144" s="14" t="str">
        <f t="shared" si="19"/>
        <v/>
      </c>
      <c r="F144" s="1" t="str">
        <f t="shared" si="20"/>
        <v/>
      </c>
      <c r="G144" s="1" t="str">
        <f t="shared" si="21"/>
        <v/>
      </c>
      <c r="H144" s="1" t="str">
        <f t="shared" si="22"/>
        <v/>
      </c>
      <c r="I144" s="1" t="str">
        <f t="shared" si="23"/>
        <v/>
      </c>
      <c r="J144" s="1" t="str">
        <f t="shared" si="24"/>
        <v/>
      </c>
      <c r="K144" s="1" t="str">
        <f t="shared" si="25"/>
        <v/>
      </c>
      <c r="L144" s="1" t="str">
        <f t="shared" si="26"/>
        <v/>
      </c>
      <c r="O144" t="str">
        <f t="shared" si="15"/>
        <v/>
      </c>
    </row>
    <row r="145" spans="1:15">
      <c r="A145" s="12" t="str">
        <f t="shared" si="27"/>
        <v/>
      </c>
      <c r="B145" s="13" t="str">
        <f t="shared" si="16"/>
        <v/>
      </c>
      <c r="C145" s="14" t="str">
        <f t="shared" si="17"/>
        <v/>
      </c>
      <c r="D145" s="13" t="str">
        <f t="shared" si="18"/>
        <v/>
      </c>
      <c r="E145" s="14" t="str">
        <f t="shared" si="19"/>
        <v/>
      </c>
      <c r="F145" s="1" t="str">
        <f t="shared" si="20"/>
        <v/>
      </c>
      <c r="G145" s="1" t="str">
        <f t="shared" si="21"/>
        <v/>
      </c>
      <c r="H145" s="1" t="str">
        <f t="shared" si="22"/>
        <v/>
      </c>
      <c r="I145" s="1" t="str">
        <f t="shared" si="23"/>
        <v/>
      </c>
      <c r="J145" s="1" t="str">
        <f t="shared" si="24"/>
        <v/>
      </c>
      <c r="K145" s="1" t="str">
        <f t="shared" si="25"/>
        <v/>
      </c>
      <c r="L145" s="1" t="str">
        <f t="shared" si="26"/>
        <v/>
      </c>
      <c r="O145" t="str">
        <f t="shared" si="15"/>
        <v/>
      </c>
    </row>
    <row r="146" spans="1:15">
      <c r="A146" s="12" t="str">
        <f t="shared" si="27"/>
        <v/>
      </c>
      <c r="B146" s="13" t="str">
        <f t="shared" si="16"/>
        <v/>
      </c>
      <c r="C146" s="14" t="str">
        <f t="shared" si="17"/>
        <v/>
      </c>
      <c r="D146" s="13" t="str">
        <f t="shared" si="18"/>
        <v/>
      </c>
      <c r="E146" s="14" t="str">
        <f t="shared" si="19"/>
        <v/>
      </c>
      <c r="F146" s="1" t="str">
        <f t="shared" si="20"/>
        <v/>
      </c>
      <c r="G146" s="1" t="str">
        <f t="shared" si="21"/>
        <v/>
      </c>
      <c r="H146" s="1" t="str">
        <f t="shared" si="22"/>
        <v/>
      </c>
      <c r="I146" s="1" t="str">
        <f t="shared" si="23"/>
        <v/>
      </c>
      <c r="J146" s="1" t="str">
        <f t="shared" si="24"/>
        <v/>
      </c>
      <c r="K146" s="1" t="str">
        <f t="shared" si="25"/>
        <v/>
      </c>
      <c r="L146" s="1" t="str">
        <f t="shared" si="26"/>
        <v/>
      </c>
      <c r="O146" t="str">
        <f t="shared" si="15"/>
        <v/>
      </c>
    </row>
    <row r="147" spans="1:15">
      <c r="A147" s="12" t="str">
        <f t="shared" si="27"/>
        <v/>
      </c>
      <c r="B147" s="13" t="str">
        <f t="shared" si="16"/>
        <v/>
      </c>
      <c r="C147" s="14" t="str">
        <f t="shared" si="17"/>
        <v/>
      </c>
      <c r="D147" s="13" t="str">
        <f t="shared" si="18"/>
        <v/>
      </c>
      <c r="E147" s="14" t="str">
        <f t="shared" si="19"/>
        <v/>
      </c>
      <c r="F147" s="1" t="str">
        <f t="shared" si="20"/>
        <v/>
      </c>
      <c r="G147" s="1" t="str">
        <f t="shared" si="21"/>
        <v/>
      </c>
      <c r="H147" s="1" t="str">
        <f t="shared" si="22"/>
        <v/>
      </c>
      <c r="I147" s="1" t="str">
        <f t="shared" si="23"/>
        <v/>
      </c>
      <c r="J147" s="1" t="str">
        <f t="shared" si="24"/>
        <v/>
      </c>
      <c r="K147" s="1" t="str">
        <f t="shared" si="25"/>
        <v/>
      </c>
      <c r="L147" s="1" t="str">
        <f t="shared" si="26"/>
        <v/>
      </c>
      <c r="O147" t="str">
        <f t="shared" si="15"/>
        <v/>
      </c>
    </row>
    <row r="148" spans="1:15">
      <c r="A148" s="12" t="str">
        <f t="shared" si="27"/>
        <v/>
      </c>
      <c r="B148" s="13" t="str">
        <f t="shared" si="16"/>
        <v/>
      </c>
      <c r="C148" s="14" t="str">
        <f t="shared" si="17"/>
        <v/>
      </c>
      <c r="D148" s="13" t="str">
        <f t="shared" si="18"/>
        <v/>
      </c>
      <c r="E148" s="14" t="str">
        <f t="shared" si="19"/>
        <v/>
      </c>
      <c r="F148" s="1" t="str">
        <f t="shared" si="20"/>
        <v/>
      </c>
      <c r="G148" s="1" t="str">
        <f t="shared" si="21"/>
        <v/>
      </c>
      <c r="H148" s="1" t="str">
        <f t="shared" si="22"/>
        <v/>
      </c>
      <c r="I148" s="1" t="str">
        <f t="shared" si="23"/>
        <v/>
      </c>
      <c r="J148" s="1" t="str">
        <f t="shared" si="24"/>
        <v/>
      </c>
      <c r="K148" s="1" t="str">
        <f t="shared" si="25"/>
        <v/>
      </c>
      <c r="L148" s="1" t="str">
        <f t="shared" si="26"/>
        <v/>
      </c>
      <c r="O148" t="str">
        <f t="shared" si="15"/>
        <v/>
      </c>
    </row>
    <row r="149" spans="1:15">
      <c r="A149" s="12" t="str">
        <f t="shared" si="27"/>
        <v/>
      </c>
      <c r="B149" s="13" t="str">
        <f t="shared" si="16"/>
        <v/>
      </c>
      <c r="C149" s="14" t="str">
        <f t="shared" si="17"/>
        <v/>
      </c>
      <c r="D149" s="13" t="str">
        <f t="shared" si="18"/>
        <v/>
      </c>
      <c r="E149" s="14" t="str">
        <f t="shared" si="19"/>
        <v/>
      </c>
      <c r="F149" s="1" t="str">
        <f t="shared" si="20"/>
        <v/>
      </c>
      <c r="G149" s="1" t="str">
        <f t="shared" si="21"/>
        <v/>
      </c>
      <c r="H149" s="1" t="str">
        <f t="shared" si="22"/>
        <v/>
      </c>
      <c r="I149" s="1" t="str">
        <f t="shared" si="23"/>
        <v/>
      </c>
      <c r="J149" s="1" t="str">
        <f t="shared" si="24"/>
        <v/>
      </c>
      <c r="K149" s="1" t="str">
        <f t="shared" si="25"/>
        <v/>
      </c>
      <c r="L149" s="1" t="str">
        <f t="shared" si="26"/>
        <v/>
      </c>
      <c r="O149" t="str">
        <f t="shared" si="15"/>
        <v/>
      </c>
    </row>
    <row r="150" spans="1:15">
      <c r="A150" s="12" t="str">
        <f t="shared" si="27"/>
        <v/>
      </c>
      <c r="B150" s="13" t="str">
        <f t="shared" si="16"/>
        <v/>
      </c>
      <c r="C150" s="14" t="str">
        <f t="shared" si="17"/>
        <v/>
      </c>
      <c r="D150" s="13" t="str">
        <f t="shared" si="18"/>
        <v/>
      </c>
      <c r="E150" s="14" t="str">
        <f t="shared" si="19"/>
        <v/>
      </c>
      <c r="F150" s="1" t="str">
        <f t="shared" si="20"/>
        <v/>
      </c>
      <c r="G150" s="1" t="str">
        <f t="shared" si="21"/>
        <v/>
      </c>
      <c r="H150" s="1" t="str">
        <f t="shared" si="22"/>
        <v/>
      </c>
      <c r="I150" s="1" t="str">
        <f t="shared" si="23"/>
        <v/>
      </c>
      <c r="J150" s="1" t="str">
        <f t="shared" si="24"/>
        <v/>
      </c>
      <c r="K150" s="1" t="str">
        <f t="shared" si="25"/>
        <v/>
      </c>
      <c r="L150" s="1" t="str">
        <f t="shared" si="26"/>
        <v/>
      </c>
      <c r="O150" t="str">
        <f t="shared" si="15"/>
        <v/>
      </c>
    </row>
    <row r="151" spans="1:15">
      <c r="A151" s="12" t="str">
        <f t="shared" si="27"/>
        <v/>
      </c>
      <c r="B151" s="13" t="str">
        <f t="shared" si="16"/>
        <v/>
      </c>
      <c r="C151" s="14" t="str">
        <f t="shared" si="17"/>
        <v/>
      </c>
      <c r="D151" s="13" t="str">
        <f t="shared" si="18"/>
        <v/>
      </c>
      <c r="E151" s="14" t="str">
        <f t="shared" si="19"/>
        <v/>
      </c>
      <c r="F151" s="1" t="str">
        <f t="shared" si="20"/>
        <v/>
      </c>
      <c r="G151" s="1" t="str">
        <f t="shared" si="21"/>
        <v/>
      </c>
      <c r="H151" s="1" t="str">
        <f t="shared" si="22"/>
        <v/>
      </c>
      <c r="I151" s="1" t="str">
        <f t="shared" si="23"/>
        <v/>
      </c>
      <c r="J151" s="1" t="str">
        <f t="shared" si="24"/>
        <v/>
      </c>
      <c r="K151" s="1" t="str">
        <f t="shared" si="25"/>
        <v/>
      </c>
      <c r="L151" s="1" t="str">
        <f t="shared" si="26"/>
        <v/>
      </c>
      <c r="O151" t="str">
        <f t="shared" si="15"/>
        <v/>
      </c>
    </row>
    <row r="152" spans="1:15">
      <c r="A152" s="12" t="str">
        <f t="shared" si="27"/>
        <v/>
      </c>
      <c r="B152" s="13" t="str">
        <f t="shared" si="16"/>
        <v/>
      </c>
      <c r="C152" s="14" t="str">
        <f t="shared" si="17"/>
        <v/>
      </c>
      <c r="D152" s="13" t="str">
        <f t="shared" si="18"/>
        <v/>
      </c>
      <c r="E152" s="14" t="str">
        <f t="shared" si="19"/>
        <v/>
      </c>
      <c r="F152" s="1" t="str">
        <f t="shared" si="20"/>
        <v/>
      </c>
      <c r="G152" s="1" t="str">
        <f t="shared" si="21"/>
        <v/>
      </c>
      <c r="H152" s="1" t="str">
        <f t="shared" si="22"/>
        <v/>
      </c>
      <c r="I152" s="1" t="str">
        <f t="shared" si="23"/>
        <v/>
      </c>
      <c r="J152" s="1" t="str">
        <f t="shared" si="24"/>
        <v/>
      </c>
      <c r="K152" s="1" t="str">
        <f t="shared" si="25"/>
        <v/>
      </c>
      <c r="L152" s="1" t="str">
        <f t="shared" si="26"/>
        <v/>
      </c>
      <c r="O152" t="str">
        <f t="shared" si="15"/>
        <v/>
      </c>
    </row>
    <row r="153" spans="1:15">
      <c r="A153" s="12" t="str">
        <f t="shared" si="27"/>
        <v/>
      </c>
      <c r="B153" s="13" t="str">
        <f t="shared" si="16"/>
        <v/>
      </c>
      <c r="C153" s="14" t="str">
        <f t="shared" si="17"/>
        <v/>
      </c>
      <c r="D153" s="13" t="str">
        <f t="shared" si="18"/>
        <v/>
      </c>
      <c r="E153" s="14" t="str">
        <f t="shared" si="19"/>
        <v/>
      </c>
      <c r="F153" s="1" t="str">
        <f t="shared" si="20"/>
        <v/>
      </c>
      <c r="G153" s="1" t="str">
        <f t="shared" si="21"/>
        <v/>
      </c>
      <c r="H153" s="1" t="str">
        <f t="shared" si="22"/>
        <v/>
      </c>
      <c r="I153" s="1" t="str">
        <f t="shared" si="23"/>
        <v/>
      </c>
      <c r="J153" s="1" t="str">
        <f t="shared" si="24"/>
        <v/>
      </c>
      <c r="K153" s="1" t="str">
        <f t="shared" si="25"/>
        <v/>
      </c>
      <c r="L153" s="1" t="str">
        <f t="shared" si="26"/>
        <v/>
      </c>
      <c r="O153" t="str">
        <f t="shared" si="15"/>
        <v/>
      </c>
    </row>
    <row r="154" spans="1:15">
      <c r="A154" s="12" t="str">
        <f t="shared" si="27"/>
        <v/>
      </c>
      <c r="B154" s="13" t="str">
        <f t="shared" si="16"/>
        <v/>
      </c>
      <c r="C154" s="14" t="str">
        <f t="shared" si="17"/>
        <v/>
      </c>
      <c r="D154" s="13" t="str">
        <f t="shared" si="18"/>
        <v/>
      </c>
      <c r="E154" s="14" t="str">
        <f t="shared" si="19"/>
        <v/>
      </c>
      <c r="F154" s="1" t="str">
        <f t="shared" si="20"/>
        <v/>
      </c>
      <c r="G154" s="1" t="str">
        <f t="shared" si="21"/>
        <v/>
      </c>
      <c r="H154" s="1" t="str">
        <f t="shared" si="22"/>
        <v/>
      </c>
      <c r="I154" s="1" t="str">
        <f t="shared" si="23"/>
        <v/>
      </c>
      <c r="J154" s="1" t="str">
        <f t="shared" si="24"/>
        <v/>
      </c>
      <c r="K154" s="1" t="str">
        <f t="shared" si="25"/>
        <v/>
      </c>
      <c r="L154" s="1" t="str">
        <f t="shared" si="26"/>
        <v/>
      </c>
      <c r="O154" t="str">
        <f t="shared" si="15"/>
        <v/>
      </c>
    </row>
    <row r="155" spans="1:15">
      <c r="A155" s="12" t="str">
        <f t="shared" si="27"/>
        <v/>
      </c>
      <c r="B155" s="13" t="str">
        <f t="shared" si="16"/>
        <v/>
      </c>
      <c r="C155" s="14" t="str">
        <f t="shared" si="17"/>
        <v/>
      </c>
      <c r="D155" s="13" t="str">
        <f t="shared" si="18"/>
        <v/>
      </c>
      <c r="E155" s="14" t="str">
        <f t="shared" si="19"/>
        <v/>
      </c>
      <c r="F155" s="1" t="str">
        <f t="shared" si="20"/>
        <v/>
      </c>
      <c r="G155" s="1" t="str">
        <f t="shared" si="21"/>
        <v/>
      </c>
      <c r="H155" s="1" t="str">
        <f t="shared" si="22"/>
        <v/>
      </c>
      <c r="I155" s="1" t="str">
        <f t="shared" si="23"/>
        <v/>
      </c>
      <c r="J155" s="1" t="str">
        <f t="shared" si="24"/>
        <v/>
      </c>
      <c r="K155" s="1" t="str">
        <f t="shared" si="25"/>
        <v/>
      </c>
      <c r="L155" s="1" t="str">
        <f t="shared" si="26"/>
        <v/>
      </c>
      <c r="O155" t="str">
        <f t="shared" si="15"/>
        <v/>
      </c>
    </row>
    <row r="156" spans="1:15">
      <c r="A156" s="12" t="str">
        <f t="shared" si="27"/>
        <v/>
      </c>
      <c r="B156" s="13" t="str">
        <f t="shared" si="16"/>
        <v/>
      </c>
      <c r="C156" s="14" t="str">
        <f t="shared" si="17"/>
        <v/>
      </c>
      <c r="D156" s="13" t="str">
        <f t="shared" si="18"/>
        <v/>
      </c>
      <c r="E156" s="14" t="str">
        <f t="shared" si="19"/>
        <v/>
      </c>
      <c r="F156" s="1" t="str">
        <f t="shared" si="20"/>
        <v/>
      </c>
      <c r="G156" s="1" t="str">
        <f t="shared" si="21"/>
        <v/>
      </c>
      <c r="H156" s="1" t="str">
        <f t="shared" si="22"/>
        <v/>
      </c>
      <c r="I156" s="1" t="str">
        <f t="shared" si="23"/>
        <v/>
      </c>
      <c r="J156" s="1" t="str">
        <f t="shared" si="24"/>
        <v/>
      </c>
      <c r="K156" s="1" t="str">
        <f t="shared" si="25"/>
        <v/>
      </c>
      <c r="L156" s="1" t="str">
        <f t="shared" si="26"/>
        <v/>
      </c>
      <c r="O156" t="str">
        <f t="shared" si="15"/>
        <v/>
      </c>
    </row>
    <row r="157" spans="1:15">
      <c r="A157" s="12" t="str">
        <f t="shared" si="27"/>
        <v/>
      </c>
      <c r="B157" s="13" t="str">
        <f t="shared" si="16"/>
        <v/>
      </c>
      <c r="C157" s="14" t="str">
        <f t="shared" si="17"/>
        <v/>
      </c>
      <c r="D157" s="13" t="str">
        <f t="shared" si="18"/>
        <v/>
      </c>
      <c r="E157" s="14" t="str">
        <f t="shared" si="19"/>
        <v/>
      </c>
      <c r="F157" s="1" t="str">
        <f t="shared" si="20"/>
        <v/>
      </c>
      <c r="G157" s="1" t="str">
        <f t="shared" si="21"/>
        <v/>
      </c>
      <c r="H157" s="1" t="str">
        <f t="shared" si="22"/>
        <v/>
      </c>
      <c r="I157" s="1" t="str">
        <f t="shared" si="23"/>
        <v/>
      </c>
      <c r="J157" s="1" t="str">
        <f t="shared" si="24"/>
        <v/>
      </c>
      <c r="K157" s="1" t="str">
        <f t="shared" si="25"/>
        <v/>
      </c>
      <c r="L157" s="1" t="str">
        <f t="shared" si="26"/>
        <v/>
      </c>
      <c r="O157" t="str">
        <f t="shared" si="15"/>
        <v/>
      </c>
    </row>
    <row r="158" spans="1:15">
      <c r="A158" s="12" t="str">
        <f t="shared" si="27"/>
        <v/>
      </c>
      <c r="B158" s="13" t="str">
        <f t="shared" si="16"/>
        <v/>
      </c>
      <c r="C158" s="14" t="str">
        <f t="shared" si="17"/>
        <v/>
      </c>
      <c r="D158" s="13" t="str">
        <f t="shared" si="18"/>
        <v/>
      </c>
      <c r="E158" s="14" t="str">
        <f t="shared" si="19"/>
        <v/>
      </c>
      <c r="F158" s="1" t="str">
        <f t="shared" si="20"/>
        <v/>
      </c>
      <c r="G158" s="1" t="str">
        <f t="shared" si="21"/>
        <v/>
      </c>
      <c r="H158" s="1" t="str">
        <f t="shared" si="22"/>
        <v/>
      </c>
      <c r="I158" s="1" t="str">
        <f t="shared" si="23"/>
        <v/>
      </c>
      <c r="J158" s="1" t="str">
        <f t="shared" si="24"/>
        <v/>
      </c>
      <c r="K158" s="1" t="str">
        <f t="shared" si="25"/>
        <v/>
      </c>
      <c r="L158" s="1" t="str">
        <f t="shared" si="26"/>
        <v/>
      </c>
      <c r="O158" t="str">
        <f t="shared" si="15"/>
        <v/>
      </c>
    </row>
    <row r="159" spans="1:15">
      <c r="A159" s="12" t="str">
        <f t="shared" si="27"/>
        <v/>
      </c>
      <c r="B159" s="13" t="str">
        <f t="shared" si="16"/>
        <v/>
      </c>
      <c r="C159" s="14" t="str">
        <f t="shared" si="17"/>
        <v/>
      </c>
      <c r="D159" s="13" t="str">
        <f t="shared" si="18"/>
        <v/>
      </c>
      <c r="E159" s="14" t="str">
        <f t="shared" si="19"/>
        <v/>
      </c>
      <c r="F159" s="1" t="str">
        <f t="shared" si="20"/>
        <v/>
      </c>
      <c r="G159" s="1" t="str">
        <f t="shared" si="21"/>
        <v/>
      </c>
      <c r="H159" s="1" t="str">
        <f t="shared" si="22"/>
        <v/>
      </c>
      <c r="I159" s="1" t="str">
        <f t="shared" si="23"/>
        <v/>
      </c>
      <c r="J159" s="1" t="str">
        <f t="shared" si="24"/>
        <v/>
      </c>
      <c r="K159" s="1" t="str">
        <f t="shared" si="25"/>
        <v/>
      </c>
      <c r="L159" s="1" t="str">
        <f t="shared" si="26"/>
        <v/>
      </c>
      <c r="O159" t="str">
        <f t="shared" si="15"/>
        <v/>
      </c>
    </row>
    <row r="160" spans="1:15">
      <c r="A160" s="12" t="str">
        <f t="shared" si="27"/>
        <v/>
      </c>
      <c r="B160" s="13" t="str">
        <f t="shared" si="16"/>
        <v/>
      </c>
      <c r="C160" s="14" t="str">
        <f t="shared" si="17"/>
        <v/>
      </c>
      <c r="D160" s="13" t="str">
        <f t="shared" si="18"/>
        <v/>
      </c>
      <c r="E160" s="14" t="str">
        <f t="shared" si="19"/>
        <v/>
      </c>
      <c r="F160" s="1" t="str">
        <f t="shared" si="20"/>
        <v/>
      </c>
      <c r="G160" s="1" t="str">
        <f t="shared" si="21"/>
        <v/>
      </c>
      <c r="H160" s="1" t="str">
        <f t="shared" si="22"/>
        <v/>
      </c>
      <c r="I160" s="1" t="str">
        <f t="shared" si="23"/>
        <v/>
      </c>
      <c r="J160" s="1" t="str">
        <f t="shared" si="24"/>
        <v/>
      </c>
      <c r="K160" s="1" t="str">
        <f t="shared" si="25"/>
        <v/>
      </c>
      <c r="L160" s="1" t="str">
        <f t="shared" si="26"/>
        <v/>
      </c>
      <c r="O160" t="str">
        <f t="shared" si="15"/>
        <v/>
      </c>
    </row>
    <row r="161" spans="1:15">
      <c r="A161" s="12" t="str">
        <f t="shared" si="27"/>
        <v/>
      </c>
      <c r="B161" s="13" t="str">
        <f t="shared" si="16"/>
        <v/>
      </c>
      <c r="C161" s="14" t="str">
        <f t="shared" si="17"/>
        <v/>
      </c>
      <c r="D161" s="13" t="str">
        <f t="shared" si="18"/>
        <v/>
      </c>
      <c r="E161" s="14" t="str">
        <f t="shared" si="19"/>
        <v/>
      </c>
      <c r="F161" s="1" t="str">
        <f t="shared" si="20"/>
        <v/>
      </c>
      <c r="G161" s="1" t="str">
        <f t="shared" si="21"/>
        <v/>
      </c>
      <c r="H161" s="1" t="str">
        <f t="shared" si="22"/>
        <v/>
      </c>
      <c r="I161" s="1" t="str">
        <f t="shared" si="23"/>
        <v/>
      </c>
      <c r="J161" s="1" t="str">
        <f t="shared" si="24"/>
        <v/>
      </c>
      <c r="K161" s="1" t="str">
        <f t="shared" si="25"/>
        <v/>
      </c>
      <c r="L161" s="1" t="str">
        <f t="shared" si="26"/>
        <v/>
      </c>
      <c r="O161" t="str">
        <f t="shared" si="15"/>
        <v/>
      </c>
    </row>
    <row r="162" spans="1:15">
      <c r="A162" s="12" t="str">
        <f t="shared" si="27"/>
        <v/>
      </c>
      <c r="B162" s="13" t="str">
        <f t="shared" si="16"/>
        <v/>
      </c>
      <c r="C162" s="14" t="str">
        <f t="shared" si="17"/>
        <v/>
      </c>
      <c r="D162" s="13" t="str">
        <f t="shared" si="18"/>
        <v/>
      </c>
      <c r="E162" s="14" t="str">
        <f t="shared" si="19"/>
        <v/>
      </c>
      <c r="F162" s="1" t="str">
        <f t="shared" si="20"/>
        <v/>
      </c>
      <c r="G162" s="1" t="str">
        <f t="shared" si="21"/>
        <v/>
      </c>
      <c r="H162" s="1" t="str">
        <f t="shared" si="22"/>
        <v/>
      </c>
      <c r="I162" s="1" t="str">
        <f t="shared" si="23"/>
        <v/>
      </c>
      <c r="J162" s="1" t="str">
        <f t="shared" si="24"/>
        <v/>
      </c>
      <c r="K162" s="1" t="str">
        <f t="shared" si="25"/>
        <v/>
      </c>
      <c r="L162" s="1" t="str">
        <f t="shared" si="26"/>
        <v/>
      </c>
      <c r="O162" t="str">
        <f t="shared" si="15"/>
        <v/>
      </c>
    </row>
    <row r="163" spans="1:15">
      <c r="A163" s="12" t="str">
        <f t="shared" si="27"/>
        <v/>
      </c>
      <c r="B163" s="13" t="str">
        <f t="shared" si="16"/>
        <v/>
      </c>
      <c r="C163" s="14" t="str">
        <f t="shared" si="17"/>
        <v/>
      </c>
      <c r="D163" s="13" t="str">
        <f t="shared" si="18"/>
        <v/>
      </c>
      <c r="E163" s="14" t="str">
        <f t="shared" si="19"/>
        <v/>
      </c>
      <c r="F163" s="1" t="str">
        <f t="shared" si="20"/>
        <v/>
      </c>
      <c r="G163" s="1" t="str">
        <f t="shared" si="21"/>
        <v/>
      </c>
      <c r="H163" s="1" t="str">
        <f t="shared" si="22"/>
        <v/>
      </c>
      <c r="I163" s="1" t="str">
        <f t="shared" si="23"/>
        <v/>
      </c>
      <c r="J163" s="1" t="str">
        <f t="shared" si="24"/>
        <v/>
      </c>
      <c r="K163" s="1" t="str">
        <f t="shared" si="25"/>
        <v/>
      </c>
      <c r="L163" s="1" t="str">
        <f t="shared" si="26"/>
        <v/>
      </c>
      <c r="O163" t="str">
        <f t="shared" si="15"/>
        <v/>
      </c>
    </row>
    <row r="164" spans="1:15">
      <c r="A164" s="12" t="str">
        <f t="shared" si="27"/>
        <v/>
      </c>
      <c r="B164" s="13" t="str">
        <f t="shared" si="16"/>
        <v/>
      </c>
      <c r="C164" s="14" t="str">
        <f t="shared" si="17"/>
        <v/>
      </c>
      <c r="D164" s="13" t="str">
        <f t="shared" si="18"/>
        <v/>
      </c>
      <c r="E164" s="14" t="str">
        <f t="shared" si="19"/>
        <v/>
      </c>
      <c r="F164" s="1" t="str">
        <f t="shared" si="20"/>
        <v/>
      </c>
      <c r="G164" s="1" t="str">
        <f t="shared" si="21"/>
        <v/>
      </c>
      <c r="H164" s="1" t="str">
        <f t="shared" si="22"/>
        <v/>
      </c>
      <c r="I164" s="1" t="str">
        <f t="shared" si="23"/>
        <v/>
      </c>
      <c r="J164" s="1" t="str">
        <f t="shared" si="24"/>
        <v/>
      </c>
      <c r="K164" s="1" t="str">
        <f t="shared" si="25"/>
        <v/>
      </c>
      <c r="L164" s="1" t="str">
        <f t="shared" si="26"/>
        <v/>
      </c>
      <c r="O164" t="str">
        <f t="shared" ref="O164:O227" si="30">A164</f>
        <v/>
      </c>
    </row>
    <row r="165" spans="1:15">
      <c r="A165" s="12" t="str">
        <f t="shared" si="27"/>
        <v/>
      </c>
      <c r="B165" s="13" t="str">
        <f t="shared" ref="B165:B228" si="31">IF(A165="","",F165/L165)</f>
        <v/>
      </c>
      <c r="C165" s="14" t="str">
        <f t="shared" ref="C165:C228" si="32">IF(B165="","",B165/1000)</f>
        <v/>
      </c>
      <c r="D165" s="13" t="str">
        <f t="shared" ref="D165:D228" si="33">IF(B165="","",B165*SQRT(0.5))</f>
        <v/>
      </c>
      <c r="E165" s="14" t="str">
        <f t="shared" ref="E165:E228" si="34">IF(D165="","",D165/1000)</f>
        <v/>
      </c>
      <c r="F165" s="1" t="str">
        <f t="shared" ref="F165:F228" si="35">IF(A165="","",A165*1000000)</f>
        <v/>
      </c>
      <c r="G165" s="1" t="str">
        <f t="shared" ref="G165:G228" si="36">IF(F165="","",$E$3/F165)</f>
        <v/>
      </c>
      <c r="H165" s="1" t="str">
        <f t="shared" ref="H165:H228" si="37">IF(F165="","",SQRT($E$5/(PI()*F165*$E$4)))</f>
        <v/>
      </c>
      <c r="I165" s="1" t="str">
        <f t="shared" ref="I165:I228" si="38">IF(F165="","",$B$16*$E$5/(PI()*$B$13*H165))</f>
        <v/>
      </c>
      <c r="J165" s="1" t="str">
        <f t="shared" ref="J165:J228" si="39">IF(F165="","",31200*($B$17/(G165^2))^2)</f>
        <v/>
      </c>
      <c r="K165" s="1" t="str">
        <f t="shared" ref="K165:K228" si="40">IF(F165="","",I165+J165+$B$19)</f>
        <v/>
      </c>
      <c r="L165" s="1" t="str">
        <f t="shared" ref="L165:L228" si="41">IF(F165="","",2*PI()*F165*$B$18/K165)</f>
        <v/>
      </c>
      <c r="O165" t="str">
        <f t="shared" si="30"/>
        <v/>
      </c>
    </row>
    <row r="166" spans="1:15">
      <c r="A166" s="12" t="str">
        <f t="shared" ref="A166:A229" si="42">IF(A165="","",IF(A165+$B$9&gt;$B$8,"",A165+$B$9))</f>
        <v/>
      </c>
      <c r="B166" s="13" t="str">
        <f t="shared" si="31"/>
        <v/>
      </c>
      <c r="C166" s="14" t="str">
        <f t="shared" si="32"/>
        <v/>
      </c>
      <c r="D166" s="13" t="str">
        <f t="shared" si="33"/>
        <v/>
      </c>
      <c r="E166" s="14" t="str">
        <f t="shared" si="34"/>
        <v/>
      </c>
      <c r="F166" s="1" t="str">
        <f t="shared" si="35"/>
        <v/>
      </c>
      <c r="G166" s="1" t="str">
        <f t="shared" si="36"/>
        <v/>
      </c>
      <c r="H166" s="1" t="str">
        <f t="shared" si="37"/>
        <v/>
      </c>
      <c r="I166" s="1" t="str">
        <f t="shared" si="38"/>
        <v/>
      </c>
      <c r="J166" s="1" t="str">
        <f t="shared" si="39"/>
        <v/>
      </c>
      <c r="K166" s="1" t="str">
        <f t="shared" si="40"/>
        <v/>
      </c>
      <c r="L166" s="1" t="str">
        <f t="shared" si="41"/>
        <v/>
      </c>
      <c r="O166" t="str">
        <f t="shared" si="30"/>
        <v/>
      </c>
    </row>
    <row r="167" spans="1:15">
      <c r="A167" s="12" t="str">
        <f t="shared" si="42"/>
        <v/>
      </c>
      <c r="B167" s="13" t="str">
        <f t="shared" si="31"/>
        <v/>
      </c>
      <c r="C167" s="14" t="str">
        <f t="shared" si="32"/>
        <v/>
      </c>
      <c r="D167" s="13" t="str">
        <f t="shared" si="33"/>
        <v/>
      </c>
      <c r="E167" s="14" t="str">
        <f t="shared" si="34"/>
        <v/>
      </c>
      <c r="F167" s="1" t="str">
        <f t="shared" si="35"/>
        <v/>
      </c>
      <c r="G167" s="1" t="str">
        <f t="shared" si="36"/>
        <v/>
      </c>
      <c r="H167" s="1" t="str">
        <f t="shared" si="37"/>
        <v/>
      </c>
      <c r="I167" s="1" t="str">
        <f t="shared" si="38"/>
        <v/>
      </c>
      <c r="J167" s="1" t="str">
        <f t="shared" si="39"/>
        <v/>
      </c>
      <c r="K167" s="1" t="str">
        <f t="shared" si="40"/>
        <v/>
      </c>
      <c r="L167" s="1" t="str">
        <f t="shared" si="41"/>
        <v/>
      </c>
      <c r="O167" t="str">
        <f t="shared" si="30"/>
        <v/>
      </c>
    </row>
    <row r="168" spans="1:15">
      <c r="A168" s="12" t="str">
        <f t="shared" si="42"/>
        <v/>
      </c>
      <c r="B168" s="13" t="str">
        <f t="shared" si="31"/>
        <v/>
      </c>
      <c r="C168" s="14" t="str">
        <f t="shared" si="32"/>
        <v/>
      </c>
      <c r="D168" s="13" t="str">
        <f t="shared" si="33"/>
        <v/>
      </c>
      <c r="E168" s="14" t="str">
        <f t="shared" si="34"/>
        <v/>
      </c>
      <c r="F168" s="1" t="str">
        <f t="shared" si="35"/>
        <v/>
      </c>
      <c r="G168" s="1" t="str">
        <f t="shared" si="36"/>
        <v/>
      </c>
      <c r="H168" s="1" t="str">
        <f t="shared" si="37"/>
        <v/>
      </c>
      <c r="I168" s="1" t="str">
        <f t="shared" si="38"/>
        <v/>
      </c>
      <c r="J168" s="1" t="str">
        <f t="shared" si="39"/>
        <v/>
      </c>
      <c r="K168" s="1" t="str">
        <f t="shared" si="40"/>
        <v/>
      </c>
      <c r="L168" s="1" t="str">
        <f t="shared" si="41"/>
        <v/>
      </c>
      <c r="O168" t="str">
        <f t="shared" si="30"/>
        <v/>
      </c>
    </row>
    <row r="169" spans="1:15">
      <c r="A169" s="12" t="str">
        <f t="shared" si="42"/>
        <v/>
      </c>
      <c r="B169" s="13" t="str">
        <f t="shared" si="31"/>
        <v/>
      </c>
      <c r="C169" s="14" t="str">
        <f t="shared" si="32"/>
        <v/>
      </c>
      <c r="D169" s="13" t="str">
        <f t="shared" si="33"/>
        <v/>
      </c>
      <c r="E169" s="14" t="str">
        <f t="shared" si="34"/>
        <v/>
      </c>
      <c r="F169" s="1" t="str">
        <f t="shared" si="35"/>
        <v/>
      </c>
      <c r="G169" s="1" t="str">
        <f t="shared" si="36"/>
        <v/>
      </c>
      <c r="H169" s="1" t="str">
        <f t="shared" si="37"/>
        <v/>
      </c>
      <c r="I169" s="1" t="str">
        <f t="shared" si="38"/>
        <v/>
      </c>
      <c r="J169" s="1" t="str">
        <f t="shared" si="39"/>
        <v/>
      </c>
      <c r="K169" s="1" t="str">
        <f t="shared" si="40"/>
        <v/>
      </c>
      <c r="L169" s="1" t="str">
        <f t="shared" si="41"/>
        <v/>
      </c>
      <c r="O169" t="str">
        <f t="shared" si="30"/>
        <v/>
      </c>
    </row>
    <row r="170" spans="1:15">
      <c r="A170" s="12" t="str">
        <f t="shared" si="42"/>
        <v/>
      </c>
      <c r="B170" s="13" t="str">
        <f t="shared" si="31"/>
        <v/>
      </c>
      <c r="C170" s="14" t="str">
        <f t="shared" si="32"/>
        <v/>
      </c>
      <c r="D170" s="13" t="str">
        <f t="shared" si="33"/>
        <v/>
      </c>
      <c r="E170" s="14" t="str">
        <f t="shared" si="34"/>
        <v/>
      </c>
      <c r="F170" s="1" t="str">
        <f t="shared" si="35"/>
        <v/>
      </c>
      <c r="G170" s="1" t="str">
        <f t="shared" si="36"/>
        <v/>
      </c>
      <c r="H170" s="1" t="str">
        <f t="shared" si="37"/>
        <v/>
      </c>
      <c r="I170" s="1" t="str">
        <f t="shared" si="38"/>
        <v/>
      </c>
      <c r="J170" s="1" t="str">
        <f t="shared" si="39"/>
        <v/>
      </c>
      <c r="K170" s="1" t="str">
        <f t="shared" si="40"/>
        <v/>
      </c>
      <c r="L170" s="1" t="str">
        <f t="shared" si="41"/>
        <v/>
      </c>
      <c r="O170" t="str">
        <f t="shared" si="30"/>
        <v/>
      </c>
    </row>
    <row r="171" spans="1:15">
      <c r="A171" s="12" t="str">
        <f t="shared" si="42"/>
        <v/>
      </c>
      <c r="B171" s="13" t="str">
        <f t="shared" si="31"/>
        <v/>
      </c>
      <c r="C171" s="14" t="str">
        <f t="shared" si="32"/>
        <v/>
      </c>
      <c r="D171" s="13" t="str">
        <f t="shared" si="33"/>
        <v/>
      </c>
      <c r="E171" s="14" t="str">
        <f t="shared" si="34"/>
        <v/>
      </c>
      <c r="F171" s="1" t="str">
        <f t="shared" si="35"/>
        <v/>
      </c>
      <c r="G171" s="1" t="str">
        <f t="shared" si="36"/>
        <v/>
      </c>
      <c r="H171" s="1" t="str">
        <f t="shared" si="37"/>
        <v/>
      </c>
      <c r="I171" s="1" t="str">
        <f t="shared" si="38"/>
        <v/>
      </c>
      <c r="J171" s="1" t="str">
        <f t="shared" si="39"/>
        <v/>
      </c>
      <c r="K171" s="1" t="str">
        <f t="shared" si="40"/>
        <v/>
      </c>
      <c r="L171" s="1" t="str">
        <f t="shared" si="41"/>
        <v/>
      </c>
      <c r="O171" t="str">
        <f t="shared" si="30"/>
        <v/>
      </c>
    </row>
    <row r="172" spans="1:15">
      <c r="A172" s="12" t="str">
        <f t="shared" si="42"/>
        <v/>
      </c>
      <c r="B172" s="13" t="str">
        <f t="shared" si="31"/>
        <v/>
      </c>
      <c r="C172" s="14" t="str">
        <f t="shared" si="32"/>
        <v/>
      </c>
      <c r="D172" s="13" t="str">
        <f t="shared" si="33"/>
        <v/>
      </c>
      <c r="E172" s="14" t="str">
        <f t="shared" si="34"/>
        <v/>
      </c>
      <c r="F172" s="1" t="str">
        <f t="shared" si="35"/>
        <v/>
      </c>
      <c r="G172" s="1" t="str">
        <f t="shared" si="36"/>
        <v/>
      </c>
      <c r="H172" s="1" t="str">
        <f t="shared" si="37"/>
        <v/>
      </c>
      <c r="I172" s="1" t="str">
        <f t="shared" si="38"/>
        <v/>
      </c>
      <c r="J172" s="1" t="str">
        <f t="shared" si="39"/>
        <v/>
      </c>
      <c r="K172" s="1" t="str">
        <f t="shared" si="40"/>
        <v/>
      </c>
      <c r="L172" s="1" t="str">
        <f t="shared" si="41"/>
        <v/>
      </c>
      <c r="O172" t="str">
        <f t="shared" si="30"/>
        <v/>
      </c>
    </row>
    <row r="173" spans="1:15">
      <c r="A173" s="12" t="str">
        <f t="shared" si="42"/>
        <v/>
      </c>
      <c r="B173" s="13" t="str">
        <f t="shared" si="31"/>
        <v/>
      </c>
      <c r="C173" s="14" t="str">
        <f t="shared" si="32"/>
        <v/>
      </c>
      <c r="D173" s="13" t="str">
        <f t="shared" si="33"/>
        <v/>
      </c>
      <c r="E173" s="14" t="str">
        <f t="shared" si="34"/>
        <v/>
      </c>
      <c r="F173" s="1" t="str">
        <f t="shared" si="35"/>
        <v/>
      </c>
      <c r="G173" s="1" t="str">
        <f t="shared" si="36"/>
        <v/>
      </c>
      <c r="H173" s="1" t="str">
        <f t="shared" si="37"/>
        <v/>
      </c>
      <c r="I173" s="1" t="str">
        <f t="shared" si="38"/>
        <v/>
      </c>
      <c r="J173" s="1" t="str">
        <f t="shared" si="39"/>
        <v/>
      </c>
      <c r="K173" s="1" t="str">
        <f t="shared" si="40"/>
        <v/>
      </c>
      <c r="L173" s="1" t="str">
        <f t="shared" si="41"/>
        <v/>
      </c>
      <c r="O173" t="str">
        <f t="shared" si="30"/>
        <v/>
      </c>
    </row>
    <row r="174" spans="1:15">
      <c r="A174" s="12" t="str">
        <f t="shared" si="42"/>
        <v/>
      </c>
      <c r="B174" s="13" t="str">
        <f t="shared" si="31"/>
        <v/>
      </c>
      <c r="C174" s="14" t="str">
        <f t="shared" si="32"/>
        <v/>
      </c>
      <c r="D174" s="13" t="str">
        <f t="shared" si="33"/>
        <v/>
      </c>
      <c r="E174" s="14" t="str">
        <f t="shared" si="34"/>
        <v/>
      </c>
      <c r="F174" s="1" t="str">
        <f t="shared" si="35"/>
        <v/>
      </c>
      <c r="G174" s="1" t="str">
        <f t="shared" si="36"/>
        <v/>
      </c>
      <c r="H174" s="1" t="str">
        <f t="shared" si="37"/>
        <v/>
      </c>
      <c r="I174" s="1" t="str">
        <f t="shared" si="38"/>
        <v/>
      </c>
      <c r="J174" s="1" t="str">
        <f t="shared" si="39"/>
        <v/>
      </c>
      <c r="K174" s="1" t="str">
        <f t="shared" si="40"/>
        <v/>
      </c>
      <c r="L174" s="1" t="str">
        <f t="shared" si="41"/>
        <v/>
      </c>
      <c r="O174" t="str">
        <f t="shared" si="30"/>
        <v/>
      </c>
    </row>
    <row r="175" spans="1:15">
      <c r="A175" s="12" t="str">
        <f t="shared" si="42"/>
        <v/>
      </c>
      <c r="B175" s="13" t="str">
        <f t="shared" si="31"/>
        <v/>
      </c>
      <c r="C175" s="14" t="str">
        <f t="shared" si="32"/>
        <v/>
      </c>
      <c r="D175" s="13" t="str">
        <f t="shared" si="33"/>
        <v/>
      </c>
      <c r="E175" s="14" t="str">
        <f t="shared" si="34"/>
        <v/>
      </c>
      <c r="F175" s="1" t="str">
        <f t="shared" si="35"/>
        <v/>
      </c>
      <c r="G175" s="1" t="str">
        <f t="shared" si="36"/>
        <v/>
      </c>
      <c r="H175" s="1" t="str">
        <f t="shared" si="37"/>
        <v/>
      </c>
      <c r="I175" s="1" t="str">
        <f t="shared" si="38"/>
        <v/>
      </c>
      <c r="J175" s="1" t="str">
        <f t="shared" si="39"/>
        <v/>
      </c>
      <c r="K175" s="1" t="str">
        <f t="shared" si="40"/>
        <v/>
      </c>
      <c r="L175" s="1" t="str">
        <f t="shared" si="41"/>
        <v/>
      </c>
      <c r="O175" t="str">
        <f t="shared" si="30"/>
        <v/>
      </c>
    </row>
    <row r="176" spans="1:15">
      <c r="A176" s="12" t="str">
        <f t="shared" si="42"/>
        <v/>
      </c>
      <c r="B176" s="13" t="str">
        <f t="shared" si="31"/>
        <v/>
      </c>
      <c r="C176" s="14" t="str">
        <f t="shared" si="32"/>
        <v/>
      </c>
      <c r="D176" s="13" t="str">
        <f t="shared" si="33"/>
        <v/>
      </c>
      <c r="E176" s="14" t="str">
        <f t="shared" si="34"/>
        <v/>
      </c>
      <c r="F176" s="1" t="str">
        <f t="shared" si="35"/>
        <v/>
      </c>
      <c r="G176" s="1" t="str">
        <f t="shared" si="36"/>
        <v/>
      </c>
      <c r="H176" s="1" t="str">
        <f t="shared" si="37"/>
        <v/>
      </c>
      <c r="I176" s="1" t="str">
        <f t="shared" si="38"/>
        <v/>
      </c>
      <c r="J176" s="1" t="str">
        <f t="shared" si="39"/>
        <v/>
      </c>
      <c r="K176" s="1" t="str">
        <f t="shared" si="40"/>
        <v/>
      </c>
      <c r="L176" s="1" t="str">
        <f t="shared" si="41"/>
        <v/>
      </c>
      <c r="O176" t="str">
        <f t="shared" si="30"/>
        <v/>
      </c>
    </row>
    <row r="177" spans="1:15">
      <c r="A177" s="12" t="str">
        <f t="shared" si="42"/>
        <v/>
      </c>
      <c r="B177" s="13" t="str">
        <f t="shared" si="31"/>
        <v/>
      </c>
      <c r="C177" s="14" t="str">
        <f t="shared" si="32"/>
        <v/>
      </c>
      <c r="D177" s="13" t="str">
        <f t="shared" si="33"/>
        <v/>
      </c>
      <c r="E177" s="14" t="str">
        <f t="shared" si="34"/>
        <v/>
      </c>
      <c r="F177" s="1" t="str">
        <f t="shared" si="35"/>
        <v/>
      </c>
      <c r="G177" s="1" t="str">
        <f t="shared" si="36"/>
        <v/>
      </c>
      <c r="H177" s="1" t="str">
        <f t="shared" si="37"/>
        <v/>
      </c>
      <c r="I177" s="1" t="str">
        <f t="shared" si="38"/>
        <v/>
      </c>
      <c r="J177" s="1" t="str">
        <f t="shared" si="39"/>
        <v/>
      </c>
      <c r="K177" s="1" t="str">
        <f t="shared" si="40"/>
        <v/>
      </c>
      <c r="L177" s="1" t="str">
        <f t="shared" si="41"/>
        <v/>
      </c>
      <c r="O177" t="str">
        <f t="shared" si="30"/>
        <v/>
      </c>
    </row>
    <row r="178" spans="1:15">
      <c r="A178" s="12" t="str">
        <f t="shared" si="42"/>
        <v/>
      </c>
      <c r="B178" s="13" t="str">
        <f t="shared" si="31"/>
        <v/>
      </c>
      <c r="C178" s="14" t="str">
        <f t="shared" si="32"/>
        <v/>
      </c>
      <c r="D178" s="13" t="str">
        <f t="shared" si="33"/>
        <v/>
      </c>
      <c r="E178" s="14" t="str">
        <f t="shared" si="34"/>
        <v/>
      </c>
      <c r="F178" s="1" t="str">
        <f t="shared" si="35"/>
        <v/>
      </c>
      <c r="G178" s="1" t="str">
        <f t="shared" si="36"/>
        <v/>
      </c>
      <c r="H178" s="1" t="str">
        <f t="shared" si="37"/>
        <v/>
      </c>
      <c r="I178" s="1" t="str">
        <f t="shared" si="38"/>
        <v/>
      </c>
      <c r="J178" s="1" t="str">
        <f t="shared" si="39"/>
        <v/>
      </c>
      <c r="K178" s="1" t="str">
        <f t="shared" si="40"/>
        <v/>
      </c>
      <c r="L178" s="1" t="str">
        <f t="shared" si="41"/>
        <v/>
      </c>
      <c r="O178" t="str">
        <f t="shared" si="30"/>
        <v/>
      </c>
    </row>
    <row r="179" spans="1:15">
      <c r="A179" s="12" t="str">
        <f t="shared" si="42"/>
        <v/>
      </c>
      <c r="B179" s="13" t="str">
        <f t="shared" si="31"/>
        <v/>
      </c>
      <c r="C179" s="14" t="str">
        <f t="shared" si="32"/>
        <v/>
      </c>
      <c r="D179" s="13" t="str">
        <f t="shared" si="33"/>
        <v/>
      </c>
      <c r="E179" s="14" t="str">
        <f t="shared" si="34"/>
        <v/>
      </c>
      <c r="F179" s="1" t="str">
        <f t="shared" si="35"/>
        <v/>
      </c>
      <c r="G179" s="1" t="str">
        <f t="shared" si="36"/>
        <v/>
      </c>
      <c r="H179" s="1" t="str">
        <f t="shared" si="37"/>
        <v/>
      </c>
      <c r="I179" s="1" t="str">
        <f t="shared" si="38"/>
        <v/>
      </c>
      <c r="J179" s="1" t="str">
        <f t="shared" si="39"/>
        <v/>
      </c>
      <c r="K179" s="1" t="str">
        <f t="shared" si="40"/>
        <v/>
      </c>
      <c r="L179" s="1" t="str">
        <f t="shared" si="41"/>
        <v/>
      </c>
      <c r="O179" t="str">
        <f t="shared" si="30"/>
        <v/>
      </c>
    </row>
    <row r="180" spans="1:15">
      <c r="A180" s="12" t="str">
        <f t="shared" si="42"/>
        <v/>
      </c>
      <c r="B180" s="13" t="str">
        <f t="shared" si="31"/>
        <v/>
      </c>
      <c r="C180" s="14" t="str">
        <f t="shared" si="32"/>
        <v/>
      </c>
      <c r="D180" s="13" t="str">
        <f t="shared" si="33"/>
        <v/>
      </c>
      <c r="E180" s="14" t="str">
        <f t="shared" si="34"/>
        <v/>
      </c>
      <c r="F180" s="1" t="str">
        <f t="shared" si="35"/>
        <v/>
      </c>
      <c r="G180" s="1" t="str">
        <f t="shared" si="36"/>
        <v/>
      </c>
      <c r="H180" s="1" t="str">
        <f t="shared" si="37"/>
        <v/>
      </c>
      <c r="I180" s="1" t="str">
        <f t="shared" si="38"/>
        <v/>
      </c>
      <c r="J180" s="1" t="str">
        <f t="shared" si="39"/>
        <v/>
      </c>
      <c r="K180" s="1" t="str">
        <f t="shared" si="40"/>
        <v/>
      </c>
      <c r="L180" s="1" t="str">
        <f t="shared" si="41"/>
        <v/>
      </c>
      <c r="O180" t="str">
        <f t="shared" si="30"/>
        <v/>
      </c>
    </row>
    <row r="181" spans="1:15">
      <c r="A181" s="12" t="str">
        <f t="shared" si="42"/>
        <v/>
      </c>
      <c r="B181" s="13" t="str">
        <f t="shared" si="31"/>
        <v/>
      </c>
      <c r="C181" s="14" t="str">
        <f t="shared" si="32"/>
        <v/>
      </c>
      <c r="D181" s="13" t="str">
        <f t="shared" si="33"/>
        <v/>
      </c>
      <c r="E181" s="14" t="str">
        <f t="shared" si="34"/>
        <v/>
      </c>
      <c r="F181" s="1" t="str">
        <f t="shared" si="35"/>
        <v/>
      </c>
      <c r="G181" s="1" t="str">
        <f t="shared" si="36"/>
        <v/>
      </c>
      <c r="H181" s="1" t="str">
        <f t="shared" si="37"/>
        <v/>
      </c>
      <c r="I181" s="1" t="str">
        <f t="shared" si="38"/>
        <v/>
      </c>
      <c r="J181" s="1" t="str">
        <f t="shared" si="39"/>
        <v/>
      </c>
      <c r="K181" s="1" t="str">
        <f t="shared" si="40"/>
        <v/>
      </c>
      <c r="L181" s="1" t="str">
        <f t="shared" si="41"/>
        <v/>
      </c>
      <c r="O181" t="str">
        <f t="shared" si="30"/>
        <v/>
      </c>
    </row>
    <row r="182" spans="1:15">
      <c r="A182" s="12" t="str">
        <f t="shared" si="42"/>
        <v/>
      </c>
      <c r="B182" s="13" t="str">
        <f t="shared" si="31"/>
        <v/>
      </c>
      <c r="C182" s="14" t="str">
        <f t="shared" si="32"/>
        <v/>
      </c>
      <c r="D182" s="13" t="str">
        <f t="shared" si="33"/>
        <v/>
      </c>
      <c r="E182" s="14" t="str">
        <f t="shared" si="34"/>
        <v/>
      </c>
      <c r="F182" s="1" t="str">
        <f t="shared" si="35"/>
        <v/>
      </c>
      <c r="G182" s="1" t="str">
        <f t="shared" si="36"/>
        <v/>
      </c>
      <c r="H182" s="1" t="str">
        <f t="shared" si="37"/>
        <v/>
      </c>
      <c r="I182" s="1" t="str">
        <f t="shared" si="38"/>
        <v/>
      </c>
      <c r="J182" s="1" t="str">
        <f t="shared" si="39"/>
        <v/>
      </c>
      <c r="K182" s="1" t="str">
        <f t="shared" si="40"/>
        <v/>
      </c>
      <c r="L182" s="1" t="str">
        <f t="shared" si="41"/>
        <v/>
      </c>
      <c r="O182" t="str">
        <f t="shared" si="30"/>
        <v/>
      </c>
    </row>
    <row r="183" spans="1:15">
      <c r="A183" s="12" t="str">
        <f t="shared" si="42"/>
        <v/>
      </c>
      <c r="B183" s="13" t="str">
        <f t="shared" si="31"/>
        <v/>
      </c>
      <c r="C183" s="14" t="str">
        <f t="shared" si="32"/>
        <v/>
      </c>
      <c r="D183" s="13" t="str">
        <f t="shared" si="33"/>
        <v/>
      </c>
      <c r="E183" s="14" t="str">
        <f t="shared" si="34"/>
        <v/>
      </c>
      <c r="F183" s="1" t="str">
        <f t="shared" si="35"/>
        <v/>
      </c>
      <c r="G183" s="1" t="str">
        <f t="shared" si="36"/>
        <v/>
      </c>
      <c r="H183" s="1" t="str">
        <f t="shared" si="37"/>
        <v/>
      </c>
      <c r="I183" s="1" t="str">
        <f t="shared" si="38"/>
        <v/>
      </c>
      <c r="J183" s="1" t="str">
        <f t="shared" si="39"/>
        <v/>
      </c>
      <c r="K183" s="1" t="str">
        <f t="shared" si="40"/>
        <v/>
      </c>
      <c r="L183" s="1" t="str">
        <f t="shared" si="41"/>
        <v/>
      </c>
      <c r="O183" t="str">
        <f t="shared" si="30"/>
        <v/>
      </c>
    </row>
    <row r="184" spans="1:15">
      <c r="A184" s="12" t="str">
        <f t="shared" si="42"/>
        <v/>
      </c>
      <c r="B184" s="13" t="str">
        <f t="shared" si="31"/>
        <v/>
      </c>
      <c r="C184" s="14" t="str">
        <f t="shared" si="32"/>
        <v/>
      </c>
      <c r="D184" s="13" t="str">
        <f t="shared" si="33"/>
        <v/>
      </c>
      <c r="E184" s="14" t="str">
        <f t="shared" si="34"/>
        <v/>
      </c>
      <c r="F184" s="1" t="str">
        <f t="shared" si="35"/>
        <v/>
      </c>
      <c r="G184" s="1" t="str">
        <f t="shared" si="36"/>
        <v/>
      </c>
      <c r="H184" s="1" t="str">
        <f t="shared" si="37"/>
        <v/>
      </c>
      <c r="I184" s="1" t="str">
        <f t="shared" si="38"/>
        <v/>
      </c>
      <c r="J184" s="1" t="str">
        <f t="shared" si="39"/>
        <v/>
      </c>
      <c r="K184" s="1" t="str">
        <f t="shared" si="40"/>
        <v/>
      </c>
      <c r="L184" s="1" t="str">
        <f t="shared" si="41"/>
        <v/>
      </c>
      <c r="O184" t="str">
        <f t="shared" si="30"/>
        <v/>
      </c>
    </row>
    <row r="185" spans="1:15">
      <c r="A185" s="12" t="str">
        <f t="shared" si="42"/>
        <v/>
      </c>
      <c r="B185" s="13" t="str">
        <f t="shared" si="31"/>
        <v/>
      </c>
      <c r="C185" s="14" t="str">
        <f t="shared" si="32"/>
        <v/>
      </c>
      <c r="D185" s="13" t="str">
        <f t="shared" si="33"/>
        <v/>
      </c>
      <c r="E185" s="14" t="str">
        <f t="shared" si="34"/>
        <v/>
      </c>
      <c r="F185" s="1" t="str">
        <f t="shared" si="35"/>
        <v/>
      </c>
      <c r="G185" s="1" t="str">
        <f t="shared" si="36"/>
        <v/>
      </c>
      <c r="H185" s="1" t="str">
        <f t="shared" si="37"/>
        <v/>
      </c>
      <c r="I185" s="1" t="str">
        <f t="shared" si="38"/>
        <v/>
      </c>
      <c r="J185" s="1" t="str">
        <f t="shared" si="39"/>
        <v/>
      </c>
      <c r="K185" s="1" t="str">
        <f t="shared" si="40"/>
        <v/>
      </c>
      <c r="L185" s="1" t="str">
        <f t="shared" si="41"/>
        <v/>
      </c>
      <c r="O185" t="str">
        <f t="shared" si="30"/>
        <v/>
      </c>
    </row>
    <row r="186" spans="1:15">
      <c r="A186" s="12" t="str">
        <f t="shared" si="42"/>
        <v/>
      </c>
      <c r="B186" s="13" t="str">
        <f t="shared" si="31"/>
        <v/>
      </c>
      <c r="C186" s="14" t="str">
        <f t="shared" si="32"/>
        <v/>
      </c>
      <c r="D186" s="13" t="str">
        <f t="shared" si="33"/>
        <v/>
      </c>
      <c r="E186" s="14" t="str">
        <f t="shared" si="34"/>
        <v/>
      </c>
      <c r="F186" s="1" t="str">
        <f t="shared" si="35"/>
        <v/>
      </c>
      <c r="G186" s="1" t="str">
        <f t="shared" si="36"/>
        <v/>
      </c>
      <c r="H186" s="1" t="str">
        <f t="shared" si="37"/>
        <v/>
      </c>
      <c r="I186" s="1" t="str">
        <f t="shared" si="38"/>
        <v/>
      </c>
      <c r="J186" s="1" t="str">
        <f t="shared" si="39"/>
        <v/>
      </c>
      <c r="K186" s="1" t="str">
        <f t="shared" si="40"/>
        <v/>
      </c>
      <c r="L186" s="1" t="str">
        <f t="shared" si="41"/>
        <v/>
      </c>
      <c r="O186" t="str">
        <f t="shared" si="30"/>
        <v/>
      </c>
    </row>
    <row r="187" spans="1:15">
      <c r="A187" s="12" t="str">
        <f t="shared" si="42"/>
        <v/>
      </c>
      <c r="B187" s="13" t="str">
        <f t="shared" si="31"/>
        <v/>
      </c>
      <c r="C187" s="14" t="str">
        <f t="shared" si="32"/>
        <v/>
      </c>
      <c r="D187" s="13" t="str">
        <f t="shared" si="33"/>
        <v/>
      </c>
      <c r="E187" s="14" t="str">
        <f t="shared" si="34"/>
        <v/>
      </c>
      <c r="F187" s="1" t="str">
        <f t="shared" si="35"/>
        <v/>
      </c>
      <c r="G187" s="1" t="str">
        <f t="shared" si="36"/>
        <v/>
      </c>
      <c r="H187" s="1" t="str">
        <f t="shared" si="37"/>
        <v/>
      </c>
      <c r="I187" s="1" t="str">
        <f t="shared" si="38"/>
        <v/>
      </c>
      <c r="J187" s="1" t="str">
        <f t="shared" si="39"/>
        <v/>
      </c>
      <c r="K187" s="1" t="str">
        <f t="shared" si="40"/>
        <v/>
      </c>
      <c r="L187" s="1" t="str">
        <f t="shared" si="41"/>
        <v/>
      </c>
      <c r="O187" t="str">
        <f t="shared" si="30"/>
        <v/>
      </c>
    </row>
    <row r="188" spans="1:15">
      <c r="A188" s="12" t="str">
        <f t="shared" si="42"/>
        <v/>
      </c>
      <c r="B188" s="13" t="str">
        <f t="shared" si="31"/>
        <v/>
      </c>
      <c r="C188" s="14" t="str">
        <f t="shared" si="32"/>
        <v/>
      </c>
      <c r="D188" s="13" t="str">
        <f t="shared" si="33"/>
        <v/>
      </c>
      <c r="E188" s="14" t="str">
        <f t="shared" si="34"/>
        <v/>
      </c>
      <c r="F188" s="1" t="str">
        <f t="shared" si="35"/>
        <v/>
      </c>
      <c r="G188" s="1" t="str">
        <f t="shared" si="36"/>
        <v/>
      </c>
      <c r="H188" s="1" t="str">
        <f t="shared" si="37"/>
        <v/>
      </c>
      <c r="I188" s="1" t="str">
        <f t="shared" si="38"/>
        <v/>
      </c>
      <c r="J188" s="1" t="str">
        <f t="shared" si="39"/>
        <v/>
      </c>
      <c r="K188" s="1" t="str">
        <f t="shared" si="40"/>
        <v/>
      </c>
      <c r="L188" s="1" t="str">
        <f t="shared" si="41"/>
        <v/>
      </c>
      <c r="O188" t="str">
        <f t="shared" si="30"/>
        <v/>
      </c>
    </row>
    <row r="189" spans="1:15">
      <c r="A189" s="12" t="str">
        <f t="shared" si="42"/>
        <v/>
      </c>
      <c r="B189" s="13" t="str">
        <f t="shared" si="31"/>
        <v/>
      </c>
      <c r="C189" s="14" t="str">
        <f t="shared" si="32"/>
        <v/>
      </c>
      <c r="D189" s="13" t="str">
        <f t="shared" si="33"/>
        <v/>
      </c>
      <c r="E189" s="14" t="str">
        <f t="shared" si="34"/>
        <v/>
      </c>
      <c r="F189" s="1" t="str">
        <f t="shared" si="35"/>
        <v/>
      </c>
      <c r="G189" s="1" t="str">
        <f t="shared" si="36"/>
        <v/>
      </c>
      <c r="H189" s="1" t="str">
        <f t="shared" si="37"/>
        <v/>
      </c>
      <c r="I189" s="1" t="str">
        <f t="shared" si="38"/>
        <v/>
      </c>
      <c r="J189" s="1" t="str">
        <f t="shared" si="39"/>
        <v/>
      </c>
      <c r="K189" s="1" t="str">
        <f t="shared" si="40"/>
        <v/>
      </c>
      <c r="L189" s="1" t="str">
        <f t="shared" si="41"/>
        <v/>
      </c>
      <c r="O189" t="str">
        <f t="shared" si="30"/>
        <v/>
      </c>
    </row>
    <row r="190" spans="1:15">
      <c r="A190" s="12" t="str">
        <f t="shared" si="42"/>
        <v/>
      </c>
      <c r="B190" s="13" t="str">
        <f t="shared" si="31"/>
        <v/>
      </c>
      <c r="C190" s="14" t="str">
        <f t="shared" si="32"/>
        <v/>
      </c>
      <c r="D190" s="13" t="str">
        <f t="shared" si="33"/>
        <v/>
      </c>
      <c r="E190" s="14" t="str">
        <f t="shared" si="34"/>
        <v/>
      </c>
      <c r="F190" s="1" t="str">
        <f t="shared" si="35"/>
        <v/>
      </c>
      <c r="G190" s="1" t="str">
        <f t="shared" si="36"/>
        <v/>
      </c>
      <c r="H190" s="1" t="str">
        <f t="shared" si="37"/>
        <v/>
      </c>
      <c r="I190" s="1" t="str">
        <f t="shared" si="38"/>
        <v/>
      </c>
      <c r="J190" s="1" t="str">
        <f t="shared" si="39"/>
        <v/>
      </c>
      <c r="K190" s="1" t="str">
        <f t="shared" si="40"/>
        <v/>
      </c>
      <c r="L190" s="1" t="str">
        <f t="shared" si="41"/>
        <v/>
      </c>
      <c r="O190" t="str">
        <f t="shared" si="30"/>
        <v/>
      </c>
    </row>
    <row r="191" spans="1:15">
      <c r="A191" s="12" t="str">
        <f t="shared" si="42"/>
        <v/>
      </c>
      <c r="B191" s="13" t="str">
        <f t="shared" si="31"/>
        <v/>
      </c>
      <c r="C191" s="14" t="str">
        <f t="shared" si="32"/>
        <v/>
      </c>
      <c r="D191" s="13" t="str">
        <f t="shared" si="33"/>
        <v/>
      </c>
      <c r="E191" s="14" t="str">
        <f t="shared" si="34"/>
        <v/>
      </c>
      <c r="F191" s="1" t="str">
        <f t="shared" si="35"/>
        <v/>
      </c>
      <c r="G191" s="1" t="str">
        <f t="shared" si="36"/>
        <v/>
      </c>
      <c r="H191" s="1" t="str">
        <f t="shared" si="37"/>
        <v/>
      </c>
      <c r="I191" s="1" t="str">
        <f t="shared" si="38"/>
        <v/>
      </c>
      <c r="J191" s="1" t="str">
        <f t="shared" si="39"/>
        <v/>
      </c>
      <c r="K191" s="1" t="str">
        <f t="shared" si="40"/>
        <v/>
      </c>
      <c r="L191" s="1" t="str">
        <f t="shared" si="41"/>
        <v/>
      </c>
      <c r="O191" t="str">
        <f t="shared" si="30"/>
        <v/>
      </c>
    </row>
    <row r="192" spans="1:15">
      <c r="A192" s="12" t="str">
        <f t="shared" si="42"/>
        <v/>
      </c>
      <c r="B192" s="13" t="str">
        <f t="shared" si="31"/>
        <v/>
      </c>
      <c r="C192" s="14" t="str">
        <f t="shared" si="32"/>
        <v/>
      </c>
      <c r="D192" s="13" t="str">
        <f t="shared" si="33"/>
        <v/>
      </c>
      <c r="E192" s="14" t="str">
        <f t="shared" si="34"/>
        <v/>
      </c>
      <c r="F192" s="1" t="str">
        <f t="shared" si="35"/>
        <v/>
      </c>
      <c r="G192" s="1" t="str">
        <f t="shared" si="36"/>
        <v/>
      </c>
      <c r="H192" s="1" t="str">
        <f t="shared" si="37"/>
        <v/>
      </c>
      <c r="I192" s="1" t="str">
        <f t="shared" si="38"/>
        <v/>
      </c>
      <c r="J192" s="1" t="str">
        <f t="shared" si="39"/>
        <v/>
      </c>
      <c r="K192" s="1" t="str">
        <f t="shared" si="40"/>
        <v/>
      </c>
      <c r="L192" s="1" t="str">
        <f t="shared" si="41"/>
        <v/>
      </c>
      <c r="O192" t="str">
        <f t="shared" si="30"/>
        <v/>
      </c>
    </row>
    <row r="193" spans="1:15">
      <c r="A193" s="12" t="str">
        <f t="shared" si="42"/>
        <v/>
      </c>
      <c r="B193" s="13" t="str">
        <f t="shared" si="31"/>
        <v/>
      </c>
      <c r="C193" s="14" t="str">
        <f t="shared" si="32"/>
        <v/>
      </c>
      <c r="D193" s="13" t="str">
        <f t="shared" si="33"/>
        <v/>
      </c>
      <c r="E193" s="14" t="str">
        <f t="shared" si="34"/>
        <v/>
      </c>
      <c r="F193" s="1" t="str">
        <f t="shared" si="35"/>
        <v/>
      </c>
      <c r="G193" s="1" t="str">
        <f t="shared" si="36"/>
        <v/>
      </c>
      <c r="H193" s="1" t="str">
        <f t="shared" si="37"/>
        <v/>
      </c>
      <c r="I193" s="1" t="str">
        <f t="shared" si="38"/>
        <v/>
      </c>
      <c r="J193" s="1" t="str">
        <f t="shared" si="39"/>
        <v/>
      </c>
      <c r="K193" s="1" t="str">
        <f t="shared" si="40"/>
        <v/>
      </c>
      <c r="L193" s="1" t="str">
        <f t="shared" si="41"/>
        <v/>
      </c>
      <c r="O193" t="str">
        <f t="shared" si="30"/>
        <v/>
      </c>
    </row>
    <row r="194" spans="1:15">
      <c r="A194" s="12" t="str">
        <f t="shared" si="42"/>
        <v/>
      </c>
      <c r="B194" s="13" t="str">
        <f t="shared" si="31"/>
        <v/>
      </c>
      <c r="C194" s="14" t="str">
        <f t="shared" si="32"/>
        <v/>
      </c>
      <c r="D194" s="13" t="str">
        <f t="shared" si="33"/>
        <v/>
      </c>
      <c r="E194" s="14" t="str">
        <f t="shared" si="34"/>
        <v/>
      </c>
      <c r="F194" s="1" t="str">
        <f t="shared" si="35"/>
        <v/>
      </c>
      <c r="G194" s="1" t="str">
        <f t="shared" si="36"/>
        <v/>
      </c>
      <c r="H194" s="1" t="str">
        <f t="shared" si="37"/>
        <v/>
      </c>
      <c r="I194" s="1" t="str">
        <f t="shared" si="38"/>
        <v/>
      </c>
      <c r="J194" s="1" t="str">
        <f t="shared" si="39"/>
        <v/>
      </c>
      <c r="K194" s="1" t="str">
        <f t="shared" si="40"/>
        <v/>
      </c>
      <c r="L194" s="1" t="str">
        <f t="shared" si="41"/>
        <v/>
      </c>
      <c r="O194" t="str">
        <f t="shared" si="30"/>
        <v/>
      </c>
    </row>
    <row r="195" spans="1:15">
      <c r="A195" s="12" t="str">
        <f t="shared" si="42"/>
        <v/>
      </c>
      <c r="B195" s="13" t="str">
        <f t="shared" si="31"/>
        <v/>
      </c>
      <c r="C195" s="14" t="str">
        <f t="shared" si="32"/>
        <v/>
      </c>
      <c r="D195" s="13" t="str">
        <f t="shared" si="33"/>
        <v/>
      </c>
      <c r="E195" s="14" t="str">
        <f t="shared" si="34"/>
        <v/>
      </c>
      <c r="F195" s="1" t="str">
        <f t="shared" si="35"/>
        <v/>
      </c>
      <c r="G195" s="1" t="str">
        <f t="shared" si="36"/>
        <v/>
      </c>
      <c r="H195" s="1" t="str">
        <f t="shared" si="37"/>
        <v/>
      </c>
      <c r="I195" s="1" t="str">
        <f t="shared" si="38"/>
        <v/>
      </c>
      <c r="J195" s="1" t="str">
        <f t="shared" si="39"/>
        <v/>
      </c>
      <c r="K195" s="1" t="str">
        <f t="shared" si="40"/>
        <v/>
      </c>
      <c r="L195" s="1" t="str">
        <f t="shared" si="41"/>
        <v/>
      </c>
      <c r="O195" t="str">
        <f t="shared" si="30"/>
        <v/>
      </c>
    </row>
    <row r="196" spans="1:15">
      <c r="A196" s="12" t="str">
        <f t="shared" si="42"/>
        <v/>
      </c>
      <c r="B196" s="13" t="str">
        <f t="shared" si="31"/>
        <v/>
      </c>
      <c r="C196" s="14" t="str">
        <f t="shared" si="32"/>
        <v/>
      </c>
      <c r="D196" s="13" t="str">
        <f t="shared" si="33"/>
        <v/>
      </c>
      <c r="E196" s="14" t="str">
        <f t="shared" si="34"/>
        <v/>
      </c>
      <c r="F196" s="1" t="str">
        <f t="shared" si="35"/>
        <v/>
      </c>
      <c r="G196" s="1" t="str">
        <f t="shared" si="36"/>
        <v/>
      </c>
      <c r="H196" s="1" t="str">
        <f t="shared" si="37"/>
        <v/>
      </c>
      <c r="I196" s="1" t="str">
        <f t="shared" si="38"/>
        <v/>
      </c>
      <c r="J196" s="1" t="str">
        <f t="shared" si="39"/>
        <v/>
      </c>
      <c r="K196" s="1" t="str">
        <f t="shared" si="40"/>
        <v/>
      </c>
      <c r="L196" s="1" t="str">
        <f t="shared" si="41"/>
        <v/>
      </c>
      <c r="O196" t="str">
        <f t="shared" si="30"/>
        <v/>
      </c>
    </row>
    <row r="197" spans="1:15">
      <c r="A197" s="12" t="str">
        <f t="shared" si="42"/>
        <v/>
      </c>
      <c r="B197" s="13" t="str">
        <f t="shared" si="31"/>
        <v/>
      </c>
      <c r="C197" s="14" t="str">
        <f t="shared" si="32"/>
        <v/>
      </c>
      <c r="D197" s="13" t="str">
        <f t="shared" si="33"/>
        <v/>
      </c>
      <c r="E197" s="14" t="str">
        <f t="shared" si="34"/>
        <v/>
      </c>
      <c r="F197" s="1" t="str">
        <f t="shared" si="35"/>
        <v/>
      </c>
      <c r="G197" s="1" t="str">
        <f t="shared" si="36"/>
        <v/>
      </c>
      <c r="H197" s="1" t="str">
        <f t="shared" si="37"/>
        <v/>
      </c>
      <c r="I197" s="1" t="str">
        <f t="shared" si="38"/>
        <v/>
      </c>
      <c r="J197" s="1" t="str">
        <f t="shared" si="39"/>
        <v/>
      </c>
      <c r="K197" s="1" t="str">
        <f t="shared" si="40"/>
        <v/>
      </c>
      <c r="L197" s="1" t="str">
        <f t="shared" si="41"/>
        <v/>
      </c>
      <c r="O197" t="str">
        <f t="shared" si="30"/>
        <v/>
      </c>
    </row>
    <row r="198" spans="1:15">
      <c r="A198" s="12" t="str">
        <f t="shared" si="42"/>
        <v/>
      </c>
      <c r="B198" s="13" t="str">
        <f t="shared" si="31"/>
        <v/>
      </c>
      <c r="C198" s="14" t="str">
        <f t="shared" si="32"/>
        <v/>
      </c>
      <c r="D198" s="13" t="str">
        <f t="shared" si="33"/>
        <v/>
      </c>
      <c r="E198" s="14" t="str">
        <f t="shared" si="34"/>
        <v/>
      </c>
      <c r="F198" s="1" t="str">
        <f t="shared" si="35"/>
        <v/>
      </c>
      <c r="G198" s="1" t="str">
        <f t="shared" si="36"/>
        <v/>
      </c>
      <c r="H198" s="1" t="str">
        <f t="shared" si="37"/>
        <v/>
      </c>
      <c r="I198" s="1" t="str">
        <f t="shared" si="38"/>
        <v/>
      </c>
      <c r="J198" s="1" t="str">
        <f t="shared" si="39"/>
        <v/>
      </c>
      <c r="K198" s="1" t="str">
        <f t="shared" si="40"/>
        <v/>
      </c>
      <c r="L198" s="1" t="str">
        <f t="shared" si="41"/>
        <v/>
      </c>
      <c r="O198" t="str">
        <f t="shared" si="30"/>
        <v/>
      </c>
    </row>
    <row r="199" spans="1:15">
      <c r="A199" s="12" t="str">
        <f t="shared" si="42"/>
        <v/>
      </c>
      <c r="B199" s="13" t="str">
        <f t="shared" si="31"/>
        <v/>
      </c>
      <c r="C199" s="14" t="str">
        <f t="shared" si="32"/>
        <v/>
      </c>
      <c r="D199" s="13" t="str">
        <f t="shared" si="33"/>
        <v/>
      </c>
      <c r="E199" s="14" t="str">
        <f t="shared" si="34"/>
        <v/>
      </c>
      <c r="F199" s="1" t="str">
        <f t="shared" si="35"/>
        <v/>
      </c>
      <c r="G199" s="1" t="str">
        <f t="shared" si="36"/>
        <v/>
      </c>
      <c r="H199" s="1" t="str">
        <f t="shared" si="37"/>
        <v/>
      </c>
      <c r="I199" s="1" t="str">
        <f t="shared" si="38"/>
        <v/>
      </c>
      <c r="J199" s="1" t="str">
        <f t="shared" si="39"/>
        <v/>
      </c>
      <c r="K199" s="1" t="str">
        <f t="shared" si="40"/>
        <v/>
      </c>
      <c r="L199" s="1" t="str">
        <f t="shared" si="41"/>
        <v/>
      </c>
      <c r="O199" t="str">
        <f t="shared" si="30"/>
        <v/>
      </c>
    </row>
    <row r="200" spans="1:15">
      <c r="A200" s="12" t="str">
        <f t="shared" si="42"/>
        <v/>
      </c>
      <c r="B200" s="13" t="str">
        <f t="shared" si="31"/>
        <v/>
      </c>
      <c r="C200" s="14" t="str">
        <f t="shared" si="32"/>
        <v/>
      </c>
      <c r="D200" s="13" t="str">
        <f t="shared" si="33"/>
        <v/>
      </c>
      <c r="E200" s="14" t="str">
        <f t="shared" si="34"/>
        <v/>
      </c>
      <c r="F200" s="1" t="str">
        <f t="shared" si="35"/>
        <v/>
      </c>
      <c r="G200" s="1" t="str">
        <f t="shared" si="36"/>
        <v/>
      </c>
      <c r="H200" s="1" t="str">
        <f t="shared" si="37"/>
        <v/>
      </c>
      <c r="I200" s="1" t="str">
        <f t="shared" si="38"/>
        <v/>
      </c>
      <c r="J200" s="1" t="str">
        <f t="shared" si="39"/>
        <v/>
      </c>
      <c r="K200" s="1" t="str">
        <f t="shared" si="40"/>
        <v/>
      </c>
      <c r="L200" s="1" t="str">
        <f t="shared" si="41"/>
        <v/>
      </c>
      <c r="O200" t="str">
        <f t="shared" si="30"/>
        <v/>
      </c>
    </row>
    <row r="201" spans="1:15">
      <c r="A201" s="12" t="str">
        <f t="shared" si="42"/>
        <v/>
      </c>
      <c r="B201" s="13" t="str">
        <f t="shared" si="31"/>
        <v/>
      </c>
      <c r="C201" s="14" t="str">
        <f t="shared" si="32"/>
        <v/>
      </c>
      <c r="D201" s="13" t="str">
        <f t="shared" si="33"/>
        <v/>
      </c>
      <c r="E201" s="14" t="str">
        <f t="shared" si="34"/>
        <v/>
      </c>
      <c r="F201" s="1" t="str">
        <f t="shared" si="35"/>
        <v/>
      </c>
      <c r="G201" s="1" t="str">
        <f t="shared" si="36"/>
        <v/>
      </c>
      <c r="H201" s="1" t="str">
        <f t="shared" si="37"/>
        <v/>
      </c>
      <c r="I201" s="1" t="str">
        <f t="shared" si="38"/>
        <v/>
      </c>
      <c r="J201" s="1" t="str">
        <f t="shared" si="39"/>
        <v/>
      </c>
      <c r="K201" s="1" t="str">
        <f t="shared" si="40"/>
        <v/>
      </c>
      <c r="L201" s="1" t="str">
        <f t="shared" si="41"/>
        <v/>
      </c>
      <c r="O201" t="str">
        <f t="shared" si="30"/>
        <v/>
      </c>
    </row>
    <row r="202" spans="1:15">
      <c r="A202" s="12" t="str">
        <f t="shared" si="42"/>
        <v/>
      </c>
      <c r="B202" s="13" t="str">
        <f t="shared" si="31"/>
        <v/>
      </c>
      <c r="C202" s="14" t="str">
        <f t="shared" si="32"/>
        <v/>
      </c>
      <c r="D202" s="13" t="str">
        <f t="shared" si="33"/>
        <v/>
      </c>
      <c r="E202" s="14" t="str">
        <f t="shared" si="34"/>
        <v/>
      </c>
      <c r="F202" s="1" t="str">
        <f t="shared" si="35"/>
        <v/>
      </c>
      <c r="G202" s="1" t="str">
        <f t="shared" si="36"/>
        <v/>
      </c>
      <c r="H202" s="1" t="str">
        <f t="shared" si="37"/>
        <v/>
      </c>
      <c r="I202" s="1" t="str">
        <f t="shared" si="38"/>
        <v/>
      </c>
      <c r="J202" s="1" t="str">
        <f t="shared" si="39"/>
        <v/>
      </c>
      <c r="K202" s="1" t="str">
        <f t="shared" si="40"/>
        <v/>
      </c>
      <c r="L202" s="1" t="str">
        <f t="shared" si="41"/>
        <v/>
      </c>
      <c r="O202" t="str">
        <f t="shared" si="30"/>
        <v/>
      </c>
    </row>
    <row r="203" spans="1:15">
      <c r="A203" s="12" t="str">
        <f t="shared" si="42"/>
        <v/>
      </c>
      <c r="B203" s="13" t="str">
        <f t="shared" si="31"/>
        <v/>
      </c>
      <c r="C203" s="14" t="str">
        <f t="shared" si="32"/>
        <v/>
      </c>
      <c r="D203" s="13" t="str">
        <f t="shared" si="33"/>
        <v/>
      </c>
      <c r="E203" s="14" t="str">
        <f t="shared" si="34"/>
        <v/>
      </c>
      <c r="F203" s="1" t="str">
        <f t="shared" si="35"/>
        <v/>
      </c>
      <c r="G203" s="1" t="str">
        <f t="shared" si="36"/>
        <v/>
      </c>
      <c r="H203" s="1" t="str">
        <f t="shared" si="37"/>
        <v/>
      </c>
      <c r="I203" s="1" t="str">
        <f t="shared" si="38"/>
        <v/>
      </c>
      <c r="J203" s="1" t="str">
        <f t="shared" si="39"/>
        <v/>
      </c>
      <c r="K203" s="1" t="str">
        <f t="shared" si="40"/>
        <v/>
      </c>
      <c r="L203" s="1" t="str">
        <f t="shared" si="41"/>
        <v/>
      </c>
      <c r="O203" t="str">
        <f t="shared" si="30"/>
        <v/>
      </c>
    </row>
    <row r="204" spans="1:15">
      <c r="A204" s="12" t="str">
        <f t="shared" si="42"/>
        <v/>
      </c>
      <c r="B204" s="13" t="str">
        <f t="shared" si="31"/>
        <v/>
      </c>
      <c r="C204" s="14" t="str">
        <f t="shared" si="32"/>
        <v/>
      </c>
      <c r="D204" s="13" t="str">
        <f t="shared" si="33"/>
        <v/>
      </c>
      <c r="E204" s="14" t="str">
        <f t="shared" si="34"/>
        <v/>
      </c>
      <c r="F204" s="1" t="str">
        <f t="shared" si="35"/>
        <v/>
      </c>
      <c r="G204" s="1" t="str">
        <f t="shared" si="36"/>
        <v/>
      </c>
      <c r="H204" s="1" t="str">
        <f t="shared" si="37"/>
        <v/>
      </c>
      <c r="I204" s="1" t="str">
        <f t="shared" si="38"/>
        <v/>
      </c>
      <c r="J204" s="1" t="str">
        <f t="shared" si="39"/>
        <v/>
      </c>
      <c r="K204" s="1" t="str">
        <f t="shared" si="40"/>
        <v/>
      </c>
      <c r="L204" s="1" t="str">
        <f t="shared" si="41"/>
        <v/>
      </c>
      <c r="O204" t="str">
        <f t="shared" si="30"/>
        <v/>
      </c>
    </row>
    <row r="205" spans="1:15">
      <c r="A205" s="12" t="str">
        <f t="shared" si="42"/>
        <v/>
      </c>
      <c r="B205" s="13" t="str">
        <f t="shared" si="31"/>
        <v/>
      </c>
      <c r="C205" s="14" t="str">
        <f t="shared" si="32"/>
        <v/>
      </c>
      <c r="D205" s="13" t="str">
        <f t="shared" si="33"/>
        <v/>
      </c>
      <c r="E205" s="14" t="str">
        <f t="shared" si="34"/>
        <v/>
      </c>
      <c r="F205" s="1" t="str">
        <f t="shared" si="35"/>
        <v/>
      </c>
      <c r="G205" s="1" t="str">
        <f t="shared" si="36"/>
        <v/>
      </c>
      <c r="H205" s="1" t="str">
        <f t="shared" si="37"/>
        <v/>
      </c>
      <c r="I205" s="1" t="str">
        <f t="shared" si="38"/>
        <v/>
      </c>
      <c r="J205" s="1" t="str">
        <f t="shared" si="39"/>
        <v/>
      </c>
      <c r="K205" s="1" t="str">
        <f t="shared" si="40"/>
        <v/>
      </c>
      <c r="L205" s="1" t="str">
        <f t="shared" si="41"/>
        <v/>
      </c>
      <c r="O205" t="str">
        <f t="shared" si="30"/>
        <v/>
      </c>
    </row>
    <row r="206" spans="1:15">
      <c r="A206" s="12" t="str">
        <f t="shared" si="42"/>
        <v/>
      </c>
      <c r="B206" s="13" t="str">
        <f t="shared" si="31"/>
        <v/>
      </c>
      <c r="C206" s="14" t="str">
        <f t="shared" si="32"/>
        <v/>
      </c>
      <c r="D206" s="13" t="str">
        <f t="shared" si="33"/>
        <v/>
      </c>
      <c r="E206" s="14" t="str">
        <f t="shared" si="34"/>
        <v/>
      </c>
      <c r="F206" s="1" t="str">
        <f t="shared" si="35"/>
        <v/>
      </c>
      <c r="G206" s="1" t="str">
        <f t="shared" si="36"/>
        <v/>
      </c>
      <c r="H206" s="1" t="str">
        <f t="shared" si="37"/>
        <v/>
      </c>
      <c r="I206" s="1" t="str">
        <f t="shared" si="38"/>
        <v/>
      </c>
      <c r="J206" s="1" t="str">
        <f t="shared" si="39"/>
        <v/>
      </c>
      <c r="K206" s="1" t="str">
        <f t="shared" si="40"/>
        <v/>
      </c>
      <c r="L206" s="1" t="str">
        <f t="shared" si="41"/>
        <v/>
      </c>
      <c r="O206" t="str">
        <f t="shared" si="30"/>
        <v/>
      </c>
    </row>
    <row r="207" spans="1:15">
      <c r="A207" s="12" t="str">
        <f t="shared" si="42"/>
        <v/>
      </c>
      <c r="B207" s="13" t="str">
        <f t="shared" si="31"/>
        <v/>
      </c>
      <c r="C207" s="14" t="str">
        <f t="shared" si="32"/>
        <v/>
      </c>
      <c r="D207" s="13" t="str">
        <f t="shared" si="33"/>
        <v/>
      </c>
      <c r="E207" s="14" t="str">
        <f t="shared" si="34"/>
        <v/>
      </c>
      <c r="F207" s="1" t="str">
        <f t="shared" si="35"/>
        <v/>
      </c>
      <c r="G207" s="1" t="str">
        <f t="shared" si="36"/>
        <v/>
      </c>
      <c r="H207" s="1" t="str">
        <f t="shared" si="37"/>
        <v/>
      </c>
      <c r="I207" s="1" t="str">
        <f t="shared" si="38"/>
        <v/>
      </c>
      <c r="J207" s="1" t="str">
        <f t="shared" si="39"/>
        <v/>
      </c>
      <c r="K207" s="1" t="str">
        <f t="shared" si="40"/>
        <v/>
      </c>
      <c r="L207" s="1" t="str">
        <f t="shared" si="41"/>
        <v/>
      </c>
      <c r="O207" t="str">
        <f t="shared" si="30"/>
        <v/>
      </c>
    </row>
    <row r="208" spans="1:15">
      <c r="A208" s="12" t="str">
        <f t="shared" si="42"/>
        <v/>
      </c>
      <c r="B208" s="13" t="str">
        <f t="shared" si="31"/>
        <v/>
      </c>
      <c r="C208" s="14" t="str">
        <f t="shared" si="32"/>
        <v/>
      </c>
      <c r="D208" s="13" t="str">
        <f t="shared" si="33"/>
        <v/>
      </c>
      <c r="E208" s="14" t="str">
        <f t="shared" si="34"/>
        <v/>
      </c>
      <c r="F208" s="1" t="str">
        <f t="shared" si="35"/>
        <v/>
      </c>
      <c r="G208" s="1" t="str">
        <f t="shared" si="36"/>
        <v/>
      </c>
      <c r="H208" s="1" t="str">
        <f t="shared" si="37"/>
        <v/>
      </c>
      <c r="I208" s="1" t="str">
        <f t="shared" si="38"/>
        <v/>
      </c>
      <c r="J208" s="1" t="str">
        <f t="shared" si="39"/>
        <v/>
      </c>
      <c r="K208" s="1" t="str">
        <f t="shared" si="40"/>
        <v/>
      </c>
      <c r="L208" s="1" t="str">
        <f t="shared" si="41"/>
        <v/>
      </c>
      <c r="O208" t="str">
        <f t="shared" si="30"/>
        <v/>
      </c>
    </row>
    <row r="209" spans="1:15">
      <c r="A209" s="12" t="str">
        <f t="shared" si="42"/>
        <v/>
      </c>
      <c r="B209" s="13" t="str">
        <f t="shared" si="31"/>
        <v/>
      </c>
      <c r="C209" s="14" t="str">
        <f t="shared" si="32"/>
        <v/>
      </c>
      <c r="D209" s="13" t="str">
        <f t="shared" si="33"/>
        <v/>
      </c>
      <c r="E209" s="14" t="str">
        <f t="shared" si="34"/>
        <v/>
      </c>
      <c r="F209" s="1" t="str">
        <f t="shared" si="35"/>
        <v/>
      </c>
      <c r="G209" s="1" t="str">
        <f t="shared" si="36"/>
        <v/>
      </c>
      <c r="H209" s="1" t="str">
        <f t="shared" si="37"/>
        <v/>
      </c>
      <c r="I209" s="1" t="str">
        <f t="shared" si="38"/>
        <v/>
      </c>
      <c r="J209" s="1" t="str">
        <f t="shared" si="39"/>
        <v/>
      </c>
      <c r="K209" s="1" t="str">
        <f t="shared" si="40"/>
        <v/>
      </c>
      <c r="L209" s="1" t="str">
        <f t="shared" si="41"/>
        <v/>
      </c>
      <c r="O209" t="str">
        <f t="shared" si="30"/>
        <v/>
      </c>
    </row>
    <row r="210" spans="1:15">
      <c r="A210" s="12" t="str">
        <f t="shared" si="42"/>
        <v/>
      </c>
      <c r="B210" s="13" t="str">
        <f t="shared" si="31"/>
        <v/>
      </c>
      <c r="C210" s="14" t="str">
        <f t="shared" si="32"/>
        <v/>
      </c>
      <c r="D210" s="13" t="str">
        <f t="shared" si="33"/>
        <v/>
      </c>
      <c r="E210" s="14" t="str">
        <f t="shared" si="34"/>
        <v/>
      </c>
      <c r="F210" s="1" t="str">
        <f t="shared" si="35"/>
        <v/>
      </c>
      <c r="G210" s="1" t="str">
        <f t="shared" si="36"/>
        <v/>
      </c>
      <c r="H210" s="1" t="str">
        <f t="shared" si="37"/>
        <v/>
      </c>
      <c r="I210" s="1" t="str">
        <f t="shared" si="38"/>
        <v/>
      </c>
      <c r="J210" s="1" t="str">
        <f t="shared" si="39"/>
        <v/>
      </c>
      <c r="K210" s="1" t="str">
        <f t="shared" si="40"/>
        <v/>
      </c>
      <c r="L210" s="1" t="str">
        <f t="shared" si="41"/>
        <v/>
      </c>
      <c r="O210" t="str">
        <f t="shared" si="30"/>
        <v/>
      </c>
    </row>
    <row r="211" spans="1:15">
      <c r="A211" s="12" t="str">
        <f t="shared" si="42"/>
        <v/>
      </c>
      <c r="B211" s="13" t="str">
        <f t="shared" si="31"/>
        <v/>
      </c>
      <c r="C211" s="14" t="str">
        <f t="shared" si="32"/>
        <v/>
      </c>
      <c r="D211" s="13" t="str">
        <f t="shared" si="33"/>
        <v/>
      </c>
      <c r="E211" s="14" t="str">
        <f t="shared" si="34"/>
        <v/>
      </c>
      <c r="F211" s="1" t="str">
        <f t="shared" si="35"/>
        <v/>
      </c>
      <c r="G211" s="1" t="str">
        <f t="shared" si="36"/>
        <v/>
      </c>
      <c r="H211" s="1" t="str">
        <f t="shared" si="37"/>
        <v/>
      </c>
      <c r="I211" s="1" t="str">
        <f t="shared" si="38"/>
        <v/>
      </c>
      <c r="J211" s="1" t="str">
        <f t="shared" si="39"/>
        <v/>
      </c>
      <c r="K211" s="1" t="str">
        <f t="shared" si="40"/>
        <v/>
      </c>
      <c r="L211" s="1" t="str">
        <f t="shared" si="41"/>
        <v/>
      </c>
      <c r="O211" t="str">
        <f t="shared" si="30"/>
        <v/>
      </c>
    </row>
    <row r="212" spans="1:15">
      <c r="A212" s="12" t="str">
        <f t="shared" si="42"/>
        <v/>
      </c>
      <c r="B212" s="13" t="str">
        <f t="shared" si="31"/>
        <v/>
      </c>
      <c r="C212" s="14" t="str">
        <f t="shared" si="32"/>
        <v/>
      </c>
      <c r="D212" s="13" t="str">
        <f t="shared" si="33"/>
        <v/>
      </c>
      <c r="E212" s="14" t="str">
        <f t="shared" si="34"/>
        <v/>
      </c>
      <c r="F212" s="1" t="str">
        <f t="shared" si="35"/>
        <v/>
      </c>
      <c r="G212" s="1" t="str">
        <f t="shared" si="36"/>
        <v/>
      </c>
      <c r="H212" s="1" t="str">
        <f t="shared" si="37"/>
        <v/>
      </c>
      <c r="I212" s="1" t="str">
        <f t="shared" si="38"/>
        <v/>
      </c>
      <c r="J212" s="1" t="str">
        <f t="shared" si="39"/>
        <v/>
      </c>
      <c r="K212" s="1" t="str">
        <f t="shared" si="40"/>
        <v/>
      </c>
      <c r="L212" s="1" t="str">
        <f t="shared" si="41"/>
        <v/>
      </c>
      <c r="O212" t="str">
        <f t="shared" si="30"/>
        <v/>
      </c>
    </row>
    <row r="213" spans="1:15">
      <c r="A213" s="12" t="str">
        <f t="shared" si="42"/>
        <v/>
      </c>
      <c r="B213" s="13" t="str">
        <f t="shared" si="31"/>
        <v/>
      </c>
      <c r="C213" s="14" t="str">
        <f t="shared" si="32"/>
        <v/>
      </c>
      <c r="D213" s="13" t="str">
        <f t="shared" si="33"/>
        <v/>
      </c>
      <c r="E213" s="14" t="str">
        <f t="shared" si="34"/>
        <v/>
      </c>
      <c r="F213" s="1" t="str">
        <f t="shared" si="35"/>
        <v/>
      </c>
      <c r="G213" s="1" t="str">
        <f t="shared" si="36"/>
        <v/>
      </c>
      <c r="H213" s="1" t="str">
        <f t="shared" si="37"/>
        <v/>
      </c>
      <c r="I213" s="1" t="str">
        <f t="shared" si="38"/>
        <v/>
      </c>
      <c r="J213" s="1" t="str">
        <f t="shared" si="39"/>
        <v/>
      </c>
      <c r="K213" s="1" t="str">
        <f t="shared" si="40"/>
        <v/>
      </c>
      <c r="L213" s="1" t="str">
        <f t="shared" si="41"/>
        <v/>
      </c>
      <c r="O213" t="str">
        <f t="shared" si="30"/>
        <v/>
      </c>
    </row>
    <row r="214" spans="1:15">
      <c r="A214" s="12" t="str">
        <f t="shared" si="42"/>
        <v/>
      </c>
      <c r="B214" s="13" t="str">
        <f t="shared" si="31"/>
        <v/>
      </c>
      <c r="C214" s="14" t="str">
        <f t="shared" si="32"/>
        <v/>
      </c>
      <c r="D214" s="13" t="str">
        <f t="shared" si="33"/>
        <v/>
      </c>
      <c r="E214" s="14" t="str">
        <f t="shared" si="34"/>
        <v/>
      </c>
      <c r="F214" s="1" t="str">
        <f t="shared" si="35"/>
        <v/>
      </c>
      <c r="G214" s="1" t="str">
        <f t="shared" si="36"/>
        <v/>
      </c>
      <c r="H214" s="1" t="str">
        <f t="shared" si="37"/>
        <v/>
      </c>
      <c r="I214" s="1" t="str">
        <f t="shared" si="38"/>
        <v/>
      </c>
      <c r="J214" s="1" t="str">
        <f t="shared" si="39"/>
        <v/>
      </c>
      <c r="K214" s="1" t="str">
        <f t="shared" si="40"/>
        <v/>
      </c>
      <c r="L214" s="1" t="str">
        <f t="shared" si="41"/>
        <v/>
      </c>
      <c r="O214" t="str">
        <f t="shared" si="30"/>
        <v/>
      </c>
    </row>
    <row r="215" spans="1:15">
      <c r="A215" s="12" t="str">
        <f t="shared" si="42"/>
        <v/>
      </c>
      <c r="B215" s="13" t="str">
        <f t="shared" si="31"/>
        <v/>
      </c>
      <c r="C215" s="14" t="str">
        <f t="shared" si="32"/>
        <v/>
      </c>
      <c r="D215" s="13" t="str">
        <f t="shared" si="33"/>
        <v/>
      </c>
      <c r="E215" s="14" t="str">
        <f t="shared" si="34"/>
        <v/>
      </c>
      <c r="F215" s="1" t="str">
        <f t="shared" si="35"/>
        <v/>
      </c>
      <c r="G215" s="1" t="str">
        <f t="shared" si="36"/>
        <v/>
      </c>
      <c r="H215" s="1" t="str">
        <f t="shared" si="37"/>
        <v/>
      </c>
      <c r="I215" s="1" t="str">
        <f t="shared" si="38"/>
        <v/>
      </c>
      <c r="J215" s="1" t="str">
        <f t="shared" si="39"/>
        <v/>
      </c>
      <c r="K215" s="1" t="str">
        <f t="shared" si="40"/>
        <v/>
      </c>
      <c r="L215" s="1" t="str">
        <f t="shared" si="41"/>
        <v/>
      </c>
      <c r="O215" t="str">
        <f t="shared" si="30"/>
        <v/>
      </c>
    </row>
    <row r="216" spans="1:15">
      <c r="A216" s="12" t="str">
        <f t="shared" si="42"/>
        <v/>
      </c>
      <c r="B216" s="13" t="str">
        <f t="shared" si="31"/>
        <v/>
      </c>
      <c r="C216" s="14" t="str">
        <f t="shared" si="32"/>
        <v/>
      </c>
      <c r="D216" s="13" t="str">
        <f t="shared" si="33"/>
        <v/>
      </c>
      <c r="E216" s="14" t="str">
        <f t="shared" si="34"/>
        <v/>
      </c>
      <c r="F216" s="1" t="str">
        <f t="shared" si="35"/>
        <v/>
      </c>
      <c r="G216" s="1" t="str">
        <f t="shared" si="36"/>
        <v/>
      </c>
      <c r="H216" s="1" t="str">
        <f t="shared" si="37"/>
        <v/>
      </c>
      <c r="I216" s="1" t="str">
        <f t="shared" si="38"/>
        <v/>
      </c>
      <c r="J216" s="1" t="str">
        <f t="shared" si="39"/>
        <v/>
      </c>
      <c r="K216" s="1" t="str">
        <f t="shared" si="40"/>
        <v/>
      </c>
      <c r="L216" s="1" t="str">
        <f t="shared" si="41"/>
        <v/>
      </c>
      <c r="O216" t="str">
        <f t="shared" si="30"/>
        <v/>
      </c>
    </row>
    <row r="217" spans="1:15">
      <c r="A217" s="12" t="str">
        <f t="shared" si="42"/>
        <v/>
      </c>
      <c r="B217" s="13" t="str">
        <f t="shared" si="31"/>
        <v/>
      </c>
      <c r="C217" s="14" t="str">
        <f t="shared" si="32"/>
        <v/>
      </c>
      <c r="D217" s="13" t="str">
        <f t="shared" si="33"/>
        <v/>
      </c>
      <c r="E217" s="14" t="str">
        <f t="shared" si="34"/>
        <v/>
      </c>
      <c r="F217" s="1" t="str">
        <f t="shared" si="35"/>
        <v/>
      </c>
      <c r="G217" s="1" t="str">
        <f t="shared" si="36"/>
        <v/>
      </c>
      <c r="H217" s="1" t="str">
        <f t="shared" si="37"/>
        <v/>
      </c>
      <c r="I217" s="1" t="str">
        <f t="shared" si="38"/>
        <v/>
      </c>
      <c r="J217" s="1" t="str">
        <f t="shared" si="39"/>
        <v/>
      </c>
      <c r="K217" s="1" t="str">
        <f t="shared" si="40"/>
        <v/>
      </c>
      <c r="L217" s="1" t="str">
        <f t="shared" si="41"/>
        <v/>
      </c>
      <c r="O217" t="str">
        <f t="shared" si="30"/>
        <v/>
      </c>
    </row>
    <row r="218" spans="1:15">
      <c r="A218" s="12" t="str">
        <f t="shared" si="42"/>
        <v/>
      </c>
      <c r="B218" s="13" t="str">
        <f t="shared" si="31"/>
        <v/>
      </c>
      <c r="C218" s="14" t="str">
        <f t="shared" si="32"/>
        <v/>
      </c>
      <c r="D218" s="13" t="str">
        <f t="shared" si="33"/>
        <v/>
      </c>
      <c r="E218" s="14" t="str">
        <f t="shared" si="34"/>
        <v/>
      </c>
      <c r="F218" s="1" t="str">
        <f t="shared" si="35"/>
        <v/>
      </c>
      <c r="G218" s="1" t="str">
        <f t="shared" si="36"/>
        <v/>
      </c>
      <c r="H218" s="1" t="str">
        <f t="shared" si="37"/>
        <v/>
      </c>
      <c r="I218" s="1" t="str">
        <f t="shared" si="38"/>
        <v/>
      </c>
      <c r="J218" s="1" t="str">
        <f t="shared" si="39"/>
        <v/>
      </c>
      <c r="K218" s="1" t="str">
        <f t="shared" si="40"/>
        <v/>
      </c>
      <c r="L218" s="1" t="str">
        <f t="shared" si="41"/>
        <v/>
      </c>
      <c r="O218" t="str">
        <f t="shared" si="30"/>
        <v/>
      </c>
    </row>
    <row r="219" spans="1:15">
      <c r="A219" s="12" t="str">
        <f t="shared" si="42"/>
        <v/>
      </c>
      <c r="B219" s="13" t="str">
        <f t="shared" si="31"/>
        <v/>
      </c>
      <c r="C219" s="14" t="str">
        <f t="shared" si="32"/>
        <v/>
      </c>
      <c r="D219" s="13" t="str">
        <f t="shared" si="33"/>
        <v/>
      </c>
      <c r="E219" s="14" t="str">
        <f t="shared" si="34"/>
        <v/>
      </c>
      <c r="F219" s="1" t="str">
        <f t="shared" si="35"/>
        <v/>
      </c>
      <c r="G219" s="1" t="str">
        <f t="shared" si="36"/>
        <v/>
      </c>
      <c r="H219" s="1" t="str">
        <f t="shared" si="37"/>
        <v/>
      </c>
      <c r="I219" s="1" t="str">
        <f t="shared" si="38"/>
        <v/>
      </c>
      <c r="J219" s="1" t="str">
        <f t="shared" si="39"/>
        <v/>
      </c>
      <c r="K219" s="1" t="str">
        <f t="shared" si="40"/>
        <v/>
      </c>
      <c r="L219" s="1" t="str">
        <f t="shared" si="41"/>
        <v/>
      </c>
      <c r="O219" t="str">
        <f t="shared" si="30"/>
        <v/>
      </c>
    </row>
    <row r="220" spans="1:15">
      <c r="A220" s="12" t="str">
        <f t="shared" si="42"/>
        <v/>
      </c>
      <c r="B220" s="13" t="str">
        <f t="shared" si="31"/>
        <v/>
      </c>
      <c r="C220" s="14" t="str">
        <f t="shared" si="32"/>
        <v/>
      </c>
      <c r="D220" s="13" t="str">
        <f t="shared" si="33"/>
        <v/>
      </c>
      <c r="E220" s="14" t="str">
        <f t="shared" si="34"/>
        <v/>
      </c>
      <c r="F220" s="1" t="str">
        <f t="shared" si="35"/>
        <v/>
      </c>
      <c r="G220" s="1" t="str">
        <f t="shared" si="36"/>
        <v/>
      </c>
      <c r="H220" s="1" t="str">
        <f t="shared" si="37"/>
        <v/>
      </c>
      <c r="I220" s="1" t="str">
        <f t="shared" si="38"/>
        <v/>
      </c>
      <c r="J220" s="1" t="str">
        <f t="shared" si="39"/>
        <v/>
      </c>
      <c r="K220" s="1" t="str">
        <f t="shared" si="40"/>
        <v/>
      </c>
      <c r="L220" s="1" t="str">
        <f t="shared" si="41"/>
        <v/>
      </c>
      <c r="O220" t="str">
        <f t="shared" si="30"/>
        <v/>
      </c>
    </row>
    <row r="221" spans="1:15">
      <c r="A221" s="12" t="str">
        <f t="shared" si="42"/>
        <v/>
      </c>
      <c r="B221" s="13" t="str">
        <f t="shared" si="31"/>
        <v/>
      </c>
      <c r="C221" s="14" t="str">
        <f t="shared" si="32"/>
        <v/>
      </c>
      <c r="D221" s="13" t="str">
        <f t="shared" si="33"/>
        <v/>
      </c>
      <c r="E221" s="14" t="str">
        <f t="shared" si="34"/>
        <v/>
      </c>
      <c r="F221" s="1" t="str">
        <f t="shared" si="35"/>
        <v/>
      </c>
      <c r="G221" s="1" t="str">
        <f t="shared" si="36"/>
        <v/>
      </c>
      <c r="H221" s="1" t="str">
        <f t="shared" si="37"/>
        <v/>
      </c>
      <c r="I221" s="1" t="str">
        <f t="shared" si="38"/>
        <v/>
      </c>
      <c r="J221" s="1" t="str">
        <f t="shared" si="39"/>
        <v/>
      </c>
      <c r="K221" s="1" t="str">
        <f t="shared" si="40"/>
        <v/>
      </c>
      <c r="L221" s="1" t="str">
        <f t="shared" si="41"/>
        <v/>
      </c>
      <c r="O221" t="str">
        <f t="shared" si="30"/>
        <v/>
      </c>
    </row>
    <row r="222" spans="1:15">
      <c r="A222" s="12" t="str">
        <f t="shared" si="42"/>
        <v/>
      </c>
      <c r="B222" s="13" t="str">
        <f t="shared" si="31"/>
        <v/>
      </c>
      <c r="C222" s="14" t="str">
        <f t="shared" si="32"/>
        <v/>
      </c>
      <c r="D222" s="13" t="str">
        <f t="shared" si="33"/>
        <v/>
      </c>
      <c r="E222" s="14" t="str">
        <f t="shared" si="34"/>
        <v/>
      </c>
      <c r="F222" s="1" t="str">
        <f t="shared" si="35"/>
        <v/>
      </c>
      <c r="G222" s="1" t="str">
        <f t="shared" si="36"/>
        <v/>
      </c>
      <c r="H222" s="1" t="str">
        <f t="shared" si="37"/>
        <v/>
      </c>
      <c r="I222" s="1" t="str">
        <f t="shared" si="38"/>
        <v/>
      </c>
      <c r="J222" s="1" t="str">
        <f t="shared" si="39"/>
        <v/>
      </c>
      <c r="K222" s="1" t="str">
        <f t="shared" si="40"/>
        <v/>
      </c>
      <c r="L222" s="1" t="str">
        <f t="shared" si="41"/>
        <v/>
      </c>
      <c r="O222" t="str">
        <f t="shared" si="30"/>
        <v/>
      </c>
    </row>
    <row r="223" spans="1:15">
      <c r="A223" s="12" t="str">
        <f t="shared" si="42"/>
        <v/>
      </c>
      <c r="B223" s="13" t="str">
        <f t="shared" si="31"/>
        <v/>
      </c>
      <c r="C223" s="14" t="str">
        <f t="shared" si="32"/>
        <v/>
      </c>
      <c r="D223" s="13" t="str">
        <f t="shared" si="33"/>
        <v/>
      </c>
      <c r="E223" s="14" t="str">
        <f t="shared" si="34"/>
        <v/>
      </c>
      <c r="F223" s="1" t="str">
        <f t="shared" si="35"/>
        <v/>
      </c>
      <c r="G223" s="1" t="str">
        <f t="shared" si="36"/>
        <v/>
      </c>
      <c r="H223" s="1" t="str">
        <f t="shared" si="37"/>
        <v/>
      </c>
      <c r="I223" s="1" t="str">
        <f t="shared" si="38"/>
        <v/>
      </c>
      <c r="J223" s="1" t="str">
        <f t="shared" si="39"/>
        <v/>
      </c>
      <c r="K223" s="1" t="str">
        <f t="shared" si="40"/>
        <v/>
      </c>
      <c r="L223" s="1" t="str">
        <f t="shared" si="41"/>
        <v/>
      </c>
      <c r="O223" t="str">
        <f t="shared" si="30"/>
        <v/>
      </c>
    </row>
    <row r="224" spans="1:15">
      <c r="A224" s="12" t="str">
        <f t="shared" si="42"/>
        <v/>
      </c>
      <c r="B224" s="13" t="str">
        <f t="shared" si="31"/>
        <v/>
      </c>
      <c r="C224" s="14" t="str">
        <f t="shared" si="32"/>
        <v/>
      </c>
      <c r="D224" s="13" t="str">
        <f t="shared" si="33"/>
        <v/>
      </c>
      <c r="E224" s="14" t="str">
        <f t="shared" si="34"/>
        <v/>
      </c>
      <c r="F224" s="1" t="str">
        <f t="shared" si="35"/>
        <v/>
      </c>
      <c r="G224" s="1" t="str">
        <f t="shared" si="36"/>
        <v/>
      </c>
      <c r="H224" s="1" t="str">
        <f t="shared" si="37"/>
        <v/>
      </c>
      <c r="I224" s="1" t="str">
        <f t="shared" si="38"/>
        <v/>
      </c>
      <c r="J224" s="1" t="str">
        <f t="shared" si="39"/>
        <v/>
      </c>
      <c r="K224" s="1" t="str">
        <f t="shared" si="40"/>
        <v/>
      </c>
      <c r="L224" s="1" t="str">
        <f t="shared" si="41"/>
        <v/>
      </c>
      <c r="O224" t="str">
        <f t="shared" si="30"/>
        <v/>
      </c>
    </row>
    <row r="225" spans="1:15">
      <c r="A225" s="12" t="str">
        <f t="shared" si="42"/>
        <v/>
      </c>
      <c r="B225" s="13" t="str">
        <f t="shared" si="31"/>
        <v/>
      </c>
      <c r="C225" s="14" t="str">
        <f t="shared" si="32"/>
        <v/>
      </c>
      <c r="D225" s="13" t="str">
        <f t="shared" si="33"/>
        <v/>
      </c>
      <c r="E225" s="14" t="str">
        <f t="shared" si="34"/>
        <v/>
      </c>
      <c r="F225" s="1" t="str">
        <f t="shared" si="35"/>
        <v/>
      </c>
      <c r="G225" s="1" t="str">
        <f t="shared" si="36"/>
        <v/>
      </c>
      <c r="H225" s="1" t="str">
        <f t="shared" si="37"/>
        <v/>
      </c>
      <c r="I225" s="1" t="str">
        <f t="shared" si="38"/>
        <v/>
      </c>
      <c r="J225" s="1" t="str">
        <f t="shared" si="39"/>
        <v/>
      </c>
      <c r="K225" s="1" t="str">
        <f t="shared" si="40"/>
        <v/>
      </c>
      <c r="L225" s="1" t="str">
        <f t="shared" si="41"/>
        <v/>
      </c>
      <c r="O225" t="str">
        <f t="shared" si="30"/>
        <v/>
      </c>
    </row>
    <row r="226" spans="1:15">
      <c r="A226" s="12" t="str">
        <f t="shared" si="42"/>
        <v/>
      </c>
      <c r="B226" s="13" t="str">
        <f t="shared" si="31"/>
        <v/>
      </c>
      <c r="C226" s="14" t="str">
        <f t="shared" si="32"/>
        <v/>
      </c>
      <c r="D226" s="13" t="str">
        <f t="shared" si="33"/>
        <v/>
      </c>
      <c r="E226" s="14" t="str">
        <f t="shared" si="34"/>
        <v/>
      </c>
      <c r="F226" s="1" t="str">
        <f t="shared" si="35"/>
        <v/>
      </c>
      <c r="G226" s="1" t="str">
        <f t="shared" si="36"/>
        <v/>
      </c>
      <c r="H226" s="1" t="str">
        <f t="shared" si="37"/>
        <v/>
      </c>
      <c r="I226" s="1" t="str">
        <f t="shared" si="38"/>
        <v/>
      </c>
      <c r="J226" s="1" t="str">
        <f t="shared" si="39"/>
        <v/>
      </c>
      <c r="K226" s="1" t="str">
        <f t="shared" si="40"/>
        <v/>
      </c>
      <c r="L226" s="1" t="str">
        <f t="shared" si="41"/>
        <v/>
      </c>
      <c r="O226" t="str">
        <f t="shared" si="30"/>
        <v/>
      </c>
    </row>
    <row r="227" spans="1:15">
      <c r="A227" s="12" t="str">
        <f t="shared" si="42"/>
        <v/>
      </c>
      <c r="B227" s="13" t="str">
        <f t="shared" si="31"/>
        <v/>
      </c>
      <c r="C227" s="14" t="str">
        <f t="shared" si="32"/>
        <v/>
      </c>
      <c r="D227" s="13" t="str">
        <f t="shared" si="33"/>
        <v/>
      </c>
      <c r="E227" s="14" t="str">
        <f t="shared" si="34"/>
        <v/>
      </c>
      <c r="F227" s="1" t="str">
        <f t="shared" si="35"/>
        <v/>
      </c>
      <c r="G227" s="1" t="str">
        <f t="shared" si="36"/>
        <v/>
      </c>
      <c r="H227" s="1" t="str">
        <f t="shared" si="37"/>
        <v/>
      </c>
      <c r="I227" s="1" t="str">
        <f t="shared" si="38"/>
        <v/>
      </c>
      <c r="J227" s="1" t="str">
        <f t="shared" si="39"/>
        <v/>
      </c>
      <c r="K227" s="1" t="str">
        <f t="shared" si="40"/>
        <v/>
      </c>
      <c r="L227" s="1" t="str">
        <f t="shared" si="41"/>
        <v/>
      </c>
      <c r="O227" t="str">
        <f t="shared" si="30"/>
        <v/>
      </c>
    </row>
    <row r="228" spans="1:15">
      <c r="A228" s="12" t="str">
        <f t="shared" si="42"/>
        <v/>
      </c>
      <c r="B228" s="13" t="str">
        <f t="shared" si="31"/>
        <v/>
      </c>
      <c r="C228" s="14" t="str">
        <f t="shared" si="32"/>
        <v/>
      </c>
      <c r="D228" s="13" t="str">
        <f t="shared" si="33"/>
        <v/>
      </c>
      <c r="E228" s="14" t="str">
        <f t="shared" si="34"/>
        <v/>
      </c>
      <c r="F228" s="1" t="str">
        <f t="shared" si="35"/>
        <v/>
      </c>
      <c r="G228" s="1" t="str">
        <f t="shared" si="36"/>
        <v/>
      </c>
      <c r="H228" s="1" t="str">
        <f t="shared" si="37"/>
        <v/>
      </c>
      <c r="I228" s="1" t="str">
        <f t="shared" si="38"/>
        <v/>
      </c>
      <c r="J228" s="1" t="str">
        <f t="shared" si="39"/>
        <v/>
      </c>
      <c r="K228" s="1" t="str">
        <f t="shared" si="40"/>
        <v/>
      </c>
      <c r="L228" s="1" t="str">
        <f t="shared" si="41"/>
        <v/>
      </c>
      <c r="O228" t="str">
        <f t="shared" ref="O228:O242" si="43">A228</f>
        <v/>
      </c>
    </row>
    <row r="229" spans="1:15">
      <c r="A229" s="12" t="str">
        <f t="shared" si="42"/>
        <v/>
      </c>
      <c r="B229" s="13" t="str">
        <f t="shared" ref="B229:B292" si="44">IF(A229="","",F229/L229)</f>
        <v/>
      </c>
      <c r="C229" s="14" t="str">
        <f t="shared" ref="C229:C292" si="45">IF(B229="","",B229/1000)</f>
        <v/>
      </c>
      <c r="D229" s="13" t="str">
        <f t="shared" ref="D229:D292" si="46">IF(B229="","",B229*SQRT(0.5))</f>
        <v/>
      </c>
      <c r="E229" s="14" t="str">
        <f t="shared" ref="E229:E292" si="47">IF(D229="","",D229/1000)</f>
        <v/>
      </c>
      <c r="F229" s="1" t="str">
        <f t="shared" ref="F229:F292" si="48">IF(A229="","",A229*1000000)</f>
        <v/>
      </c>
      <c r="G229" s="1" t="str">
        <f t="shared" ref="G229:G292" si="49">IF(F229="","",$E$3/F229)</f>
        <v/>
      </c>
      <c r="H229" s="1" t="str">
        <f t="shared" ref="H229:H292" si="50">IF(F229="","",SQRT($E$5/(PI()*F229*$E$4)))</f>
        <v/>
      </c>
      <c r="I229" s="1" t="str">
        <f t="shared" ref="I229:I292" si="51">IF(F229="","",$B$16*$E$5/(PI()*$B$13*H229))</f>
        <v/>
      </c>
      <c r="J229" s="1" t="str">
        <f t="shared" ref="J229:J292" si="52">IF(F229="","",31200*($B$17/(G229^2))^2)</f>
        <v/>
      </c>
      <c r="K229" s="1" t="str">
        <f t="shared" ref="K229:K292" si="53">IF(F229="","",I229+J229+$B$19)</f>
        <v/>
      </c>
      <c r="L229" s="1" t="str">
        <f t="shared" ref="L229:L292" si="54">IF(F229="","",2*PI()*F229*$B$18/K229)</f>
        <v/>
      </c>
      <c r="O229" t="str">
        <f t="shared" si="43"/>
        <v/>
      </c>
    </row>
    <row r="230" spans="1:15">
      <c r="A230" s="12" t="str">
        <f t="shared" ref="A230:A293" si="55">IF(A229="","",IF(A229+$B$9&gt;$B$8,"",A229+$B$9))</f>
        <v/>
      </c>
      <c r="B230" s="13" t="str">
        <f t="shared" si="44"/>
        <v/>
      </c>
      <c r="C230" s="14" t="str">
        <f t="shared" si="45"/>
        <v/>
      </c>
      <c r="D230" s="13" t="str">
        <f t="shared" si="46"/>
        <v/>
      </c>
      <c r="E230" s="14" t="str">
        <f t="shared" si="47"/>
        <v/>
      </c>
      <c r="F230" s="1" t="str">
        <f t="shared" si="48"/>
        <v/>
      </c>
      <c r="G230" s="1" t="str">
        <f t="shared" si="49"/>
        <v/>
      </c>
      <c r="H230" s="1" t="str">
        <f t="shared" si="50"/>
        <v/>
      </c>
      <c r="I230" s="1" t="str">
        <f t="shared" si="51"/>
        <v/>
      </c>
      <c r="J230" s="1" t="str">
        <f t="shared" si="52"/>
        <v/>
      </c>
      <c r="K230" s="1" t="str">
        <f t="shared" si="53"/>
        <v/>
      </c>
      <c r="L230" s="1" t="str">
        <f t="shared" si="54"/>
        <v/>
      </c>
      <c r="O230" t="str">
        <f t="shared" si="43"/>
        <v/>
      </c>
    </row>
    <row r="231" spans="1:15">
      <c r="A231" s="12" t="str">
        <f t="shared" si="55"/>
        <v/>
      </c>
      <c r="B231" s="13" t="str">
        <f t="shared" si="44"/>
        <v/>
      </c>
      <c r="C231" s="14" t="str">
        <f t="shared" si="45"/>
        <v/>
      </c>
      <c r="D231" s="13" t="str">
        <f t="shared" si="46"/>
        <v/>
      </c>
      <c r="E231" s="14" t="str">
        <f t="shared" si="47"/>
        <v/>
      </c>
      <c r="F231" s="1" t="str">
        <f t="shared" si="48"/>
        <v/>
      </c>
      <c r="G231" s="1" t="str">
        <f t="shared" si="49"/>
        <v/>
      </c>
      <c r="H231" s="1" t="str">
        <f t="shared" si="50"/>
        <v/>
      </c>
      <c r="I231" s="1" t="str">
        <f t="shared" si="51"/>
        <v/>
      </c>
      <c r="J231" s="1" t="str">
        <f t="shared" si="52"/>
        <v/>
      </c>
      <c r="K231" s="1" t="str">
        <f t="shared" si="53"/>
        <v/>
      </c>
      <c r="L231" s="1" t="str">
        <f t="shared" si="54"/>
        <v/>
      </c>
      <c r="O231" t="str">
        <f t="shared" si="43"/>
        <v/>
      </c>
    </row>
    <row r="232" spans="1:15">
      <c r="A232" s="12" t="str">
        <f t="shared" si="55"/>
        <v/>
      </c>
      <c r="B232" s="13" t="str">
        <f t="shared" si="44"/>
        <v/>
      </c>
      <c r="C232" s="14" t="str">
        <f t="shared" si="45"/>
        <v/>
      </c>
      <c r="D232" s="13" t="str">
        <f t="shared" si="46"/>
        <v/>
      </c>
      <c r="E232" s="14" t="str">
        <f t="shared" si="47"/>
        <v/>
      </c>
      <c r="F232" s="1" t="str">
        <f t="shared" si="48"/>
        <v/>
      </c>
      <c r="G232" s="1" t="str">
        <f t="shared" si="49"/>
        <v/>
      </c>
      <c r="H232" s="1" t="str">
        <f t="shared" si="50"/>
        <v/>
      </c>
      <c r="I232" s="1" t="str">
        <f t="shared" si="51"/>
        <v/>
      </c>
      <c r="J232" s="1" t="str">
        <f t="shared" si="52"/>
        <v/>
      </c>
      <c r="K232" s="1" t="str">
        <f t="shared" si="53"/>
        <v/>
      </c>
      <c r="L232" s="1" t="str">
        <f t="shared" si="54"/>
        <v/>
      </c>
      <c r="O232" t="str">
        <f t="shared" si="43"/>
        <v/>
      </c>
    </row>
    <row r="233" spans="1:15">
      <c r="A233" s="12" t="str">
        <f t="shared" si="55"/>
        <v/>
      </c>
      <c r="B233" s="13" t="str">
        <f t="shared" si="44"/>
        <v/>
      </c>
      <c r="C233" s="14" t="str">
        <f t="shared" si="45"/>
        <v/>
      </c>
      <c r="D233" s="13" t="str">
        <f t="shared" si="46"/>
        <v/>
      </c>
      <c r="E233" s="14" t="str">
        <f t="shared" si="47"/>
        <v/>
      </c>
      <c r="F233" s="1" t="str">
        <f t="shared" si="48"/>
        <v/>
      </c>
      <c r="G233" s="1" t="str">
        <f t="shared" si="49"/>
        <v/>
      </c>
      <c r="H233" s="1" t="str">
        <f t="shared" si="50"/>
        <v/>
      </c>
      <c r="I233" s="1" t="str">
        <f t="shared" si="51"/>
        <v/>
      </c>
      <c r="J233" s="1" t="str">
        <f t="shared" si="52"/>
        <v/>
      </c>
      <c r="K233" s="1" t="str">
        <f t="shared" si="53"/>
        <v/>
      </c>
      <c r="L233" s="1" t="str">
        <f t="shared" si="54"/>
        <v/>
      </c>
      <c r="O233" t="str">
        <f t="shared" si="43"/>
        <v/>
      </c>
    </row>
    <row r="234" spans="1:15">
      <c r="A234" s="12" t="str">
        <f t="shared" si="55"/>
        <v/>
      </c>
      <c r="B234" s="13" t="str">
        <f t="shared" si="44"/>
        <v/>
      </c>
      <c r="C234" s="14" t="str">
        <f t="shared" si="45"/>
        <v/>
      </c>
      <c r="D234" s="13" t="str">
        <f t="shared" si="46"/>
        <v/>
      </c>
      <c r="E234" s="14" t="str">
        <f t="shared" si="47"/>
        <v/>
      </c>
      <c r="F234" s="1" t="str">
        <f t="shared" si="48"/>
        <v/>
      </c>
      <c r="G234" s="1" t="str">
        <f t="shared" si="49"/>
        <v/>
      </c>
      <c r="H234" s="1" t="str">
        <f t="shared" si="50"/>
        <v/>
      </c>
      <c r="I234" s="1" t="str">
        <f t="shared" si="51"/>
        <v/>
      </c>
      <c r="J234" s="1" t="str">
        <f t="shared" si="52"/>
        <v/>
      </c>
      <c r="K234" s="1" t="str">
        <f t="shared" si="53"/>
        <v/>
      </c>
      <c r="L234" s="1" t="str">
        <f t="shared" si="54"/>
        <v/>
      </c>
      <c r="O234" t="str">
        <f t="shared" si="43"/>
        <v/>
      </c>
    </row>
    <row r="235" spans="1:15">
      <c r="A235" s="12" t="str">
        <f t="shared" si="55"/>
        <v/>
      </c>
      <c r="B235" s="13" t="str">
        <f t="shared" si="44"/>
        <v/>
      </c>
      <c r="C235" s="14" t="str">
        <f t="shared" si="45"/>
        <v/>
      </c>
      <c r="D235" s="13" t="str">
        <f t="shared" si="46"/>
        <v/>
      </c>
      <c r="E235" s="14" t="str">
        <f t="shared" si="47"/>
        <v/>
      </c>
      <c r="F235" s="1" t="str">
        <f t="shared" si="48"/>
        <v/>
      </c>
      <c r="G235" s="1" t="str">
        <f t="shared" si="49"/>
        <v/>
      </c>
      <c r="H235" s="1" t="str">
        <f t="shared" si="50"/>
        <v/>
      </c>
      <c r="I235" s="1" t="str">
        <f t="shared" si="51"/>
        <v/>
      </c>
      <c r="J235" s="1" t="str">
        <f t="shared" si="52"/>
        <v/>
      </c>
      <c r="K235" s="1" t="str">
        <f t="shared" si="53"/>
        <v/>
      </c>
      <c r="L235" s="1" t="str">
        <f t="shared" si="54"/>
        <v/>
      </c>
      <c r="O235" t="str">
        <f t="shared" si="43"/>
        <v/>
      </c>
    </row>
    <row r="236" spans="1:15">
      <c r="A236" s="12" t="str">
        <f t="shared" si="55"/>
        <v/>
      </c>
      <c r="B236" s="13" t="str">
        <f t="shared" si="44"/>
        <v/>
      </c>
      <c r="C236" s="14" t="str">
        <f t="shared" si="45"/>
        <v/>
      </c>
      <c r="D236" s="13" t="str">
        <f t="shared" si="46"/>
        <v/>
      </c>
      <c r="E236" s="14" t="str">
        <f t="shared" si="47"/>
        <v/>
      </c>
      <c r="F236" s="1" t="str">
        <f t="shared" si="48"/>
        <v/>
      </c>
      <c r="G236" s="1" t="str">
        <f t="shared" si="49"/>
        <v/>
      </c>
      <c r="H236" s="1" t="str">
        <f t="shared" si="50"/>
        <v/>
      </c>
      <c r="I236" s="1" t="str">
        <f t="shared" si="51"/>
        <v/>
      </c>
      <c r="J236" s="1" t="str">
        <f t="shared" si="52"/>
        <v/>
      </c>
      <c r="K236" s="1" t="str">
        <f t="shared" si="53"/>
        <v/>
      </c>
      <c r="L236" s="1" t="str">
        <f t="shared" si="54"/>
        <v/>
      </c>
      <c r="O236" t="str">
        <f t="shared" si="43"/>
        <v/>
      </c>
    </row>
    <row r="237" spans="1:15">
      <c r="A237" s="12" t="str">
        <f t="shared" si="55"/>
        <v/>
      </c>
      <c r="B237" s="13" t="str">
        <f t="shared" si="44"/>
        <v/>
      </c>
      <c r="C237" s="14" t="str">
        <f t="shared" si="45"/>
        <v/>
      </c>
      <c r="D237" s="13" t="str">
        <f t="shared" si="46"/>
        <v/>
      </c>
      <c r="E237" s="14" t="str">
        <f t="shared" si="47"/>
        <v/>
      </c>
      <c r="F237" s="1" t="str">
        <f t="shared" si="48"/>
        <v/>
      </c>
      <c r="G237" s="1" t="str">
        <f t="shared" si="49"/>
        <v/>
      </c>
      <c r="H237" s="1" t="str">
        <f t="shared" si="50"/>
        <v/>
      </c>
      <c r="I237" s="1" t="str">
        <f t="shared" si="51"/>
        <v/>
      </c>
      <c r="J237" s="1" t="str">
        <f t="shared" si="52"/>
        <v/>
      </c>
      <c r="K237" s="1" t="str">
        <f t="shared" si="53"/>
        <v/>
      </c>
      <c r="L237" s="1" t="str">
        <f t="shared" si="54"/>
        <v/>
      </c>
      <c r="O237" t="str">
        <f t="shared" si="43"/>
        <v/>
      </c>
    </row>
    <row r="238" spans="1:15">
      <c r="A238" s="12" t="str">
        <f t="shared" si="55"/>
        <v/>
      </c>
      <c r="B238" s="13" t="str">
        <f t="shared" si="44"/>
        <v/>
      </c>
      <c r="C238" s="14" t="str">
        <f t="shared" si="45"/>
        <v/>
      </c>
      <c r="D238" s="13" t="str">
        <f t="shared" si="46"/>
        <v/>
      </c>
      <c r="E238" s="14" t="str">
        <f t="shared" si="47"/>
        <v/>
      </c>
      <c r="F238" s="1" t="str">
        <f t="shared" si="48"/>
        <v/>
      </c>
      <c r="G238" s="1" t="str">
        <f t="shared" si="49"/>
        <v/>
      </c>
      <c r="H238" s="1" t="str">
        <f t="shared" si="50"/>
        <v/>
      </c>
      <c r="I238" s="1" t="str">
        <f t="shared" si="51"/>
        <v/>
      </c>
      <c r="J238" s="1" t="str">
        <f t="shared" si="52"/>
        <v/>
      </c>
      <c r="K238" s="1" t="str">
        <f t="shared" si="53"/>
        <v/>
      </c>
      <c r="L238" s="1" t="str">
        <f t="shared" si="54"/>
        <v/>
      </c>
      <c r="O238" t="str">
        <f t="shared" si="43"/>
        <v/>
      </c>
    </row>
    <row r="239" spans="1:15">
      <c r="A239" s="12" t="str">
        <f t="shared" si="55"/>
        <v/>
      </c>
      <c r="B239" s="13" t="str">
        <f t="shared" si="44"/>
        <v/>
      </c>
      <c r="C239" s="14" t="str">
        <f t="shared" si="45"/>
        <v/>
      </c>
      <c r="D239" s="13" t="str">
        <f t="shared" si="46"/>
        <v/>
      </c>
      <c r="E239" s="14" t="str">
        <f t="shared" si="47"/>
        <v/>
      </c>
      <c r="F239" s="1" t="str">
        <f t="shared" si="48"/>
        <v/>
      </c>
      <c r="G239" s="1" t="str">
        <f t="shared" si="49"/>
        <v/>
      </c>
      <c r="H239" s="1" t="str">
        <f t="shared" si="50"/>
        <v/>
      </c>
      <c r="I239" s="1" t="str">
        <f t="shared" si="51"/>
        <v/>
      </c>
      <c r="J239" s="1" t="str">
        <f t="shared" si="52"/>
        <v/>
      </c>
      <c r="K239" s="1" t="str">
        <f t="shared" si="53"/>
        <v/>
      </c>
      <c r="L239" s="1" t="str">
        <f t="shared" si="54"/>
        <v/>
      </c>
      <c r="O239" t="str">
        <f t="shared" si="43"/>
        <v/>
      </c>
    </row>
    <row r="240" spans="1:15">
      <c r="A240" s="12" t="str">
        <f t="shared" si="55"/>
        <v/>
      </c>
      <c r="B240" s="13" t="str">
        <f t="shared" si="44"/>
        <v/>
      </c>
      <c r="C240" s="14" t="str">
        <f t="shared" si="45"/>
        <v/>
      </c>
      <c r="D240" s="13" t="str">
        <f t="shared" si="46"/>
        <v/>
      </c>
      <c r="E240" s="14" t="str">
        <f t="shared" si="47"/>
        <v/>
      </c>
      <c r="F240" s="1" t="str">
        <f t="shared" si="48"/>
        <v/>
      </c>
      <c r="G240" s="1" t="str">
        <f t="shared" si="49"/>
        <v/>
      </c>
      <c r="H240" s="1" t="str">
        <f t="shared" si="50"/>
        <v/>
      </c>
      <c r="I240" s="1" t="str">
        <f t="shared" si="51"/>
        <v/>
      </c>
      <c r="J240" s="1" t="str">
        <f t="shared" si="52"/>
        <v/>
      </c>
      <c r="K240" s="1" t="str">
        <f t="shared" si="53"/>
        <v/>
      </c>
      <c r="L240" s="1" t="str">
        <f t="shared" si="54"/>
        <v/>
      </c>
      <c r="O240" t="str">
        <f t="shared" si="43"/>
        <v/>
      </c>
    </row>
    <row r="241" spans="1:15">
      <c r="A241" s="12" t="str">
        <f t="shared" si="55"/>
        <v/>
      </c>
      <c r="B241" s="13" t="str">
        <f t="shared" si="44"/>
        <v/>
      </c>
      <c r="C241" s="14" t="str">
        <f t="shared" si="45"/>
        <v/>
      </c>
      <c r="D241" s="13" t="str">
        <f t="shared" si="46"/>
        <v/>
      </c>
      <c r="E241" s="14" t="str">
        <f t="shared" si="47"/>
        <v/>
      </c>
      <c r="F241" s="1" t="str">
        <f t="shared" si="48"/>
        <v/>
      </c>
      <c r="G241" s="1" t="str">
        <f t="shared" si="49"/>
        <v/>
      </c>
      <c r="H241" s="1" t="str">
        <f t="shared" si="50"/>
        <v/>
      </c>
      <c r="I241" s="1" t="str">
        <f t="shared" si="51"/>
        <v/>
      </c>
      <c r="J241" s="1" t="str">
        <f t="shared" si="52"/>
        <v/>
      </c>
      <c r="K241" s="1" t="str">
        <f t="shared" si="53"/>
        <v/>
      </c>
      <c r="L241" s="1" t="str">
        <f t="shared" si="54"/>
        <v/>
      </c>
      <c r="O241" t="str">
        <f t="shared" si="43"/>
        <v/>
      </c>
    </row>
    <row r="242" spans="1:15">
      <c r="A242" s="12" t="str">
        <f t="shared" si="55"/>
        <v/>
      </c>
      <c r="B242" s="13" t="str">
        <f t="shared" si="44"/>
        <v/>
      </c>
      <c r="C242" s="14" t="str">
        <f t="shared" si="45"/>
        <v/>
      </c>
      <c r="D242" s="13" t="str">
        <f t="shared" si="46"/>
        <v/>
      </c>
      <c r="E242" s="14" t="str">
        <f t="shared" si="47"/>
        <v/>
      </c>
      <c r="F242" s="1" t="str">
        <f t="shared" si="48"/>
        <v/>
      </c>
      <c r="G242" s="1" t="str">
        <f t="shared" si="49"/>
        <v/>
      </c>
      <c r="H242" s="1" t="str">
        <f t="shared" si="50"/>
        <v/>
      </c>
      <c r="I242" s="1" t="str">
        <f t="shared" si="51"/>
        <v/>
      </c>
      <c r="J242" s="1" t="str">
        <f t="shared" si="52"/>
        <v/>
      </c>
      <c r="K242" s="1" t="str">
        <f t="shared" si="53"/>
        <v/>
      </c>
      <c r="L242" s="1" t="str">
        <f t="shared" si="54"/>
        <v/>
      </c>
      <c r="O242" t="str">
        <f t="shared" si="43"/>
        <v/>
      </c>
    </row>
    <row r="243" spans="1:15">
      <c r="A243" s="12" t="str">
        <f t="shared" si="55"/>
        <v/>
      </c>
      <c r="B243" s="13" t="str">
        <f t="shared" si="44"/>
        <v/>
      </c>
      <c r="C243" s="14" t="str">
        <f t="shared" si="45"/>
        <v/>
      </c>
      <c r="D243" s="13" t="str">
        <f t="shared" si="46"/>
        <v/>
      </c>
      <c r="E243" s="14" t="str">
        <f t="shared" si="47"/>
        <v/>
      </c>
      <c r="F243" s="1" t="str">
        <f t="shared" si="48"/>
        <v/>
      </c>
      <c r="G243" s="1" t="str">
        <f t="shared" si="49"/>
        <v/>
      </c>
      <c r="H243" s="1" t="str">
        <f t="shared" si="50"/>
        <v/>
      </c>
      <c r="I243" s="1" t="str">
        <f t="shared" si="51"/>
        <v/>
      </c>
      <c r="J243" s="1" t="str">
        <f t="shared" si="52"/>
        <v/>
      </c>
      <c r="K243" s="1" t="str">
        <f t="shared" si="53"/>
        <v/>
      </c>
      <c r="L243" s="1" t="str">
        <f t="shared" si="54"/>
        <v/>
      </c>
    </row>
    <row r="244" spans="1:15">
      <c r="A244" s="12" t="str">
        <f t="shared" si="55"/>
        <v/>
      </c>
      <c r="B244" s="13" t="str">
        <f t="shared" si="44"/>
        <v/>
      </c>
      <c r="C244" s="14" t="str">
        <f t="shared" si="45"/>
        <v/>
      </c>
      <c r="D244" s="13" t="str">
        <f t="shared" si="46"/>
        <v/>
      </c>
      <c r="E244" s="14" t="str">
        <f t="shared" si="47"/>
        <v/>
      </c>
      <c r="F244" s="1" t="str">
        <f t="shared" si="48"/>
        <v/>
      </c>
      <c r="G244" s="1" t="str">
        <f t="shared" si="49"/>
        <v/>
      </c>
      <c r="H244" s="1" t="str">
        <f t="shared" si="50"/>
        <v/>
      </c>
      <c r="I244" s="1" t="str">
        <f t="shared" si="51"/>
        <v/>
      </c>
      <c r="J244" s="1" t="str">
        <f t="shared" si="52"/>
        <v/>
      </c>
      <c r="K244" s="1" t="str">
        <f t="shared" si="53"/>
        <v/>
      </c>
      <c r="L244" s="1" t="str">
        <f t="shared" si="54"/>
        <v/>
      </c>
    </row>
    <row r="245" spans="1:15">
      <c r="A245" s="12" t="str">
        <f t="shared" si="55"/>
        <v/>
      </c>
      <c r="B245" s="13" t="str">
        <f t="shared" si="44"/>
        <v/>
      </c>
      <c r="C245" s="14" t="str">
        <f t="shared" si="45"/>
        <v/>
      </c>
      <c r="D245" s="13" t="str">
        <f t="shared" si="46"/>
        <v/>
      </c>
      <c r="E245" s="14" t="str">
        <f t="shared" si="47"/>
        <v/>
      </c>
      <c r="F245" s="1" t="str">
        <f t="shared" si="48"/>
        <v/>
      </c>
      <c r="G245" s="1" t="str">
        <f t="shared" si="49"/>
        <v/>
      </c>
      <c r="H245" s="1" t="str">
        <f t="shared" si="50"/>
        <v/>
      </c>
      <c r="I245" s="1" t="str">
        <f t="shared" si="51"/>
        <v/>
      </c>
      <c r="J245" s="1" t="str">
        <f t="shared" si="52"/>
        <v/>
      </c>
      <c r="K245" s="1" t="str">
        <f t="shared" si="53"/>
        <v/>
      </c>
      <c r="L245" s="1" t="str">
        <f t="shared" si="54"/>
        <v/>
      </c>
    </row>
    <row r="246" spans="1:15">
      <c r="A246" s="12" t="str">
        <f t="shared" si="55"/>
        <v/>
      </c>
      <c r="B246" s="13" t="str">
        <f t="shared" si="44"/>
        <v/>
      </c>
      <c r="C246" s="14" t="str">
        <f t="shared" si="45"/>
        <v/>
      </c>
      <c r="D246" s="13" t="str">
        <f t="shared" si="46"/>
        <v/>
      </c>
      <c r="E246" s="14" t="str">
        <f t="shared" si="47"/>
        <v/>
      </c>
      <c r="F246" s="1" t="str">
        <f t="shared" si="48"/>
        <v/>
      </c>
      <c r="G246" s="1" t="str">
        <f t="shared" si="49"/>
        <v/>
      </c>
      <c r="H246" s="1" t="str">
        <f t="shared" si="50"/>
        <v/>
      </c>
      <c r="I246" s="1" t="str">
        <f t="shared" si="51"/>
        <v/>
      </c>
      <c r="J246" s="1" t="str">
        <f t="shared" si="52"/>
        <v/>
      </c>
      <c r="K246" s="1" t="str">
        <f t="shared" si="53"/>
        <v/>
      </c>
      <c r="L246" s="1" t="str">
        <f t="shared" si="54"/>
        <v/>
      </c>
    </row>
    <row r="247" spans="1:15">
      <c r="A247" s="12" t="str">
        <f t="shared" si="55"/>
        <v/>
      </c>
      <c r="B247" s="13" t="str">
        <f t="shared" si="44"/>
        <v/>
      </c>
      <c r="C247" s="14" t="str">
        <f t="shared" si="45"/>
        <v/>
      </c>
      <c r="D247" s="13" t="str">
        <f t="shared" si="46"/>
        <v/>
      </c>
      <c r="E247" s="14" t="str">
        <f t="shared" si="47"/>
        <v/>
      </c>
      <c r="F247" s="1" t="str">
        <f t="shared" si="48"/>
        <v/>
      </c>
      <c r="G247" s="1" t="str">
        <f t="shared" si="49"/>
        <v/>
      </c>
      <c r="H247" s="1" t="str">
        <f t="shared" si="50"/>
        <v/>
      </c>
      <c r="I247" s="1" t="str">
        <f t="shared" si="51"/>
        <v/>
      </c>
      <c r="J247" s="1" t="str">
        <f t="shared" si="52"/>
        <v/>
      </c>
      <c r="K247" s="1" t="str">
        <f t="shared" si="53"/>
        <v/>
      </c>
      <c r="L247" s="1" t="str">
        <f t="shared" si="54"/>
        <v/>
      </c>
    </row>
    <row r="248" spans="1:15">
      <c r="A248" s="12" t="str">
        <f t="shared" si="55"/>
        <v/>
      </c>
      <c r="B248" s="13" t="str">
        <f t="shared" si="44"/>
        <v/>
      </c>
      <c r="C248" s="14" t="str">
        <f t="shared" si="45"/>
        <v/>
      </c>
      <c r="D248" s="13" t="str">
        <f t="shared" si="46"/>
        <v/>
      </c>
      <c r="E248" s="14" t="str">
        <f t="shared" si="47"/>
        <v/>
      </c>
      <c r="F248" s="1" t="str">
        <f t="shared" si="48"/>
        <v/>
      </c>
      <c r="G248" s="1" t="str">
        <f t="shared" si="49"/>
        <v/>
      </c>
      <c r="H248" s="1" t="str">
        <f t="shared" si="50"/>
        <v/>
      </c>
      <c r="I248" s="1" t="str">
        <f t="shared" si="51"/>
        <v/>
      </c>
      <c r="J248" s="1" t="str">
        <f t="shared" si="52"/>
        <v/>
      </c>
      <c r="K248" s="1" t="str">
        <f t="shared" si="53"/>
        <v/>
      </c>
      <c r="L248" s="1" t="str">
        <f t="shared" si="54"/>
        <v/>
      </c>
    </row>
    <row r="249" spans="1:15">
      <c r="A249" s="12" t="str">
        <f t="shared" si="55"/>
        <v/>
      </c>
      <c r="B249" s="13" t="str">
        <f t="shared" si="44"/>
        <v/>
      </c>
      <c r="C249" s="14" t="str">
        <f t="shared" si="45"/>
        <v/>
      </c>
      <c r="D249" s="13" t="str">
        <f t="shared" si="46"/>
        <v/>
      </c>
      <c r="E249" s="14" t="str">
        <f t="shared" si="47"/>
        <v/>
      </c>
      <c r="F249" s="1" t="str">
        <f t="shared" si="48"/>
        <v/>
      </c>
      <c r="G249" s="1" t="str">
        <f t="shared" si="49"/>
        <v/>
      </c>
      <c r="H249" s="1" t="str">
        <f t="shared" si="50"/>
        <v/>
      </c>
      <c r="I249" s="1" t="str">
        <f t="shared" si="51"/>
        <v/>
      </c>
      <c r="J249" s="1" t="str">
        <f t="shared" si="52"/>
        <v/>
      </c>
      <c r="K249" s="1" t="str">
        <f t="shared" si="53"/>
        <v/>
      </c>
      <c r="L249" s="1" t="str">
        <f t="shared" si="54"/>
        <v/>
      </c>
    </row>
    <row r="250" spans="1:15">
      <c r="A250" s="12" t="str">
        <f t="shared" si="55"/>
        <v/>
      </c>
      <c r="B250" s="13" t="str">
        <f t="shared" si="44"/>
        <v/>
      </c>
      <c r="C250" s="14" t="str">
        <f t="shared" si="45"/>
        <v/>
      </c>
      <c r="D250" s="13" t="str">
        <f t="shared" si="46"/>
        <v/>
      </c>
      <c r="E250" s="14" t="str">
        <f t="shared" si="47"/>
        <v/>
      </c>
      <c r="F250" s="1" t="str">
        <f t="shared" si="48"/>
        <v/>
      </c>
      <c r="G250" s="1" t="str">
        <f t="shared" si="49"/>
        <v/>
      </c>
      <c r="H250" s="1" t="str">
        <f t="shared" si="50"/>
        <v/>
      </c>
      <c r="I250" s="1" t="str">
        <f t="shared" si="51"/>
        <v/>
      </c>
      <c r="J250" s="1" t="str">
        <f t="shared" si="52"/>
        <v/>
      </c>
      <c r="K250" s="1" t="str">
        <f t="shared" si="53"/>
        <v/>
      </c>
      <c r="L250" s="1" t="str">
        <f t="shared" si="54"/>
        <v/>
      </c>
    </row>
    <row r="251" spans="1:15">
      <c r="A251" s="12" t="str">
        <f t="shared" si="55"/>
        <v/>
      </c>
      <c r="B251" s="13" t="str">
        <f t="shared" si="44"/>
        <v/>
      </c>
      <c r="C251" s="14" t="str">
        <f t="shared" si="45"/>
        <v/>
      </c>
      <c r="D251" s="13" t="str">
        <f t="shared" si="46"/>
        <v/>
      </c>
      <c r="E251" s="14" t="str">
        <f t="shared" si="47"/>
        <v/>
      </c>
      <c r="F251" s="1" t="str">
        <f t="shared" si="48"/>
        <v/>
      </c>
      <c r="G251" s="1" t="str">
        <f t="shared" si="49"/>
        <v/>
      </c>
      <c r="H251" s="1" t="str">
        <f t="shared" si="50"/>
        <v/>
      </c>
      <c r="I251" s="1" t="str">
        <f t="shared" si="51"/>
        <v/>
      </c>
      <c r="J251" s="1" t="str">
        <f t="shared" si="52"/>
        <v/>
      </c>
      <c r="K251" s="1" t="str">
        <f t="shared" si="53"/>
        <v/>
      </c>
      <c r="L251" s="1" t="str">
        <f t="shared" si="54"/>
        <v/>
      </c>
    </row>
    <row r="252" spans="1:15">
      <c r="A252" s="12" t="str">
        <f t="shared" si="55"/>
        <v/>
      </c>
      <c r="B252" s="13" t="str">
        <f t="shared" si="44"/>
        <v/>
      </c>
      <c r="C252" s="14" t="str">
        <f t="shared" si="45"/>
        <v/>
      </c>
      <c r="D252" s="13" t="str">
        <f t="shared" si="46"/>
        <v/>
      </c>
      <c r="E252" s="14" t="str">
        <f t="shared" si="47"/>
        <v/>
      </c>
      <c r="F252" s="1" t="str">
        <f t="shared" si="48"/>
        <v/>
      </c>
      <c r="G252" s="1" t="str">
        <f t="shared" si="49"/>
        <v/>
      </c>
      <c r="H252" s="1" t="str">
        <f t="shared" si="50"/>
        <v/>
      </c>
      <c r="I252" s="1" t="str">
        <f t="shared" si="51"/>
        <v/>
      </c>
      <c r="J252" s="1" t="str">
        <f t="shared" si="52"/>
        <v/>
      </c>
      <c r="K252" s="1" t="str">
        <f t="shared" si="53"/>
        <v/>
      </c>
      <c r="L252" s="1" t="str">
        <f t="shared" si="54"/>
        <v/>
      </c>
    </row>
    <row r="253" spans="1:15">
      <c r="A253" s="12" t="str">
        <f t="shared" si="55"/>
        <v/>
      </c>
      <c r="B253" s="13" t="str">
        <f t="shared" si="44"/>
        <v/>
      </c>
      <c r="C253" s="14" t="str">
        <f t="shared" si="45"/>
        <v/>
      </c>
      <c r="D253" s="13" t="str">
        <f t="shared" si="46"/>
        <v/>
      </c>
      <c r="E253" s="14" t="str">
        <f t="shared" si="47"/>
        <v/>
      </c>
      <c r="F253" s="1" t="str">
        <f t="shared" si="48"/>
        <v/>
      </c>
      <c r="G253" s="1" t="str">
        <f t="shared" si="49"/>
        <v/>
      </c>
      <c r="H253" s="1" t="str">
        <f t="shared" si="50"/>
        <v/>
      </c>
      <c r="I253" s="1" t="str">
        <f t="shared" si="51"/>
        <v/>
      </c>
      <c r="J253" s="1" t="str">
        <f t="shared" si="52"/>
        <v/>
      </c>
      <c r="K253" s="1" t="str">
        <f t="shared" si="53"/>
        <v/>
      </c>
      <c r="L253" s="1" t="str">
        <f t="shared" si="54"/>
        <v/>
      </c>
    </row>
    <row r="254" spans="1:15">
      <c r="A254" s="12" t="str">
        <f t="shared" si="55"/>
        <v/>
      </c>
      <c r="B254" s="13" t="str">
        <f t="shared" si="44"/>
        <v/>
      </c>
      <c r="C254" s="14" t="str">
        <f t="shared" si="45"/>
        <v/>
      </c>
      <c r="D254" s="13" t="str">
        <f t="shared" si="46"/>
        <v/>
      </c>
      <c r="E254" s="14" t="str">
        <f t="shared" si="47"/>
        <v/>
      </c>
      <c r="F254" s="1" t="str">
        <f t="shared" si="48"/>
        <v/>
      </c>
      <c r="G254" s="1" t="str">
        <f t="shared" si="49"/>
        <v/>
      </c>
      <c r="H254" s="1" t="str">
        <f t="shared" si="50"/>
        <v/>
      </c>
      <c r="I254" s="1" t="str">
        <f t="shared" si="51"/>
        <v/>
      </c>
      <c r="J254" s="1" t="str">
        <f t="shared" si="52"/>
        <v/>
      </c>
      <c r="K254" s="1" t="str">
        <f t="shared" si="53"/>
        <v/>
      </c>
      <c r="L254" s="1" t="str">
        <f t="shared" si="54"/>
        <v/>
      </c>
    </row>
    <row r="255" spans="1:15">
      <c r="A255" s="12" t="str">
        <f t="shared" si="55"/>
        <v/>
      </c>
      <c r="B255" s="13" t="str">
        <f t="shared" si="44"/>
        <v/>
      </c>
      <c r="C255" s="14" t="str">
        <f t="shared" si="45"/>
        <v/>
      </c>
      <c r="D255" s="13" t="str">
        <f t="shared" si="46"/>
        <v/>
      </c>
      <c r="E255" s="14" t="str">
        <f t="shared" si="47"/>
        <v/>
      </c>
      <c r="F255" s="1" t="str">
        <f t="shared" si="48"/>
        <v/>
      </c>
      <c r="G255" s="1" t="str">
        <f t="shared" si="49"/>
        <v/>
      </c>
      <c r="H255" s="1" t="str">
        <f t="shared" si="50"/>
        <v/>
      </c>
      <c r="I255" s="1" t="str">
        <f t="shared" si="51"/>
        <v/>
      </c>
      <c r="J255" s="1" t="str">
        <f t="shared" si="52"/>
        <v/>
      </c>
      <c r="K255" s="1" t="str">
        <f t="shared" si="53"/>
        <v/>
      </c>
      <c r="L255" s="1" t="str">
        <f t="shared" si="54"/>
        <v/>
      </c>
    </row>
    <row r="256" spans="1:15">
      <c r="A256" s="12" t="str">
        <f t="shared" si="55"/>
        <v/>
      </c>
      <c r="B256" s="13" t="str">
        <f t="shared" si="44"/>
        <v/>
      </c>
      <c r="C256" s="14" t="str">
        <f t="shared" si="45"/>
        <v/>
      </c>
      <c r="D256" s="13" t="str">
        <f t="shared" si="46"/>
        <v/>
      </c>
      <c r="E256" s="14" t="str">
        <f t="shared" si="47"/>
        <v/>
      </c>
      <c r="F256" s="1" t="str">
        <f t="shared" si="48"/>
        <v/>
      </c>
      <c r="G256" s="1" t="str">
        <f t="shared" si="49"/>
        <v/>
      </c>
      <c r="H256" s="1" t="str">
        <f t="shared" si="50"/>
        <v/>
      </c>
      <c r="I256" s="1" t="str">
        <f t="shared" si="51"/>
        <v/>
      </c>
      <c r="J256" s="1" t="str">
        <f t="shared" si="52"/>
        <v/>
      </c>
      <c r="K256" s="1" t="str">
        <f t="shared" si="53"/>
        <v/>
      </c>
      <c r="L256" s="1" t="str">
        <f t="shared" si="54"/>
        <v/>
      </c>
    </row>
    <row r="257" spans="1:12">
      <c r="A257" s="12" t="str">
        <f t="shared" si="55"/>
        <v/>
      </c>
      <c r="B257" s="13" t="str">
        <f t="shared" si="44"/>
        <v/>
      </c>
      <c r="C257" s="14" t="str">
        <f t="shared" si="45"/>
        <v/>
      </c>
      <c r="D257" s="13" t="str">
        <f t="shared" si="46"/>
        <v/>
      </c>
      <c r="E257" s="14" t="str">
        <f t="shared" si="47"/>
        <v/>
      </c>
      <c r="F257" s="1" t="str">
        <f t="shared" si="48"/>
        <v/>
      </c>
      <c r="G257" s="1" t="str">
        <f t="shared" si="49"/>
        <v/>
      </c>
      <c r="H257" s="1" t="str">
        <f t="shared" si="50"/>
        <v/>
      </c>
      <c r="I257" s="1" t="str">
        <f t="shared" si="51"/>
        <v/>
      </c>
      <c r="J257" s="1" t="str">
        <f t="shared" si="52"/>
        <v/>
      </c>
      <c r="K257" s="1" t="str">
        <f t="shared" si="53"/>
        <v/>
      </c>
      <c r="L257" s="1" t="str">
        <f t="shared" si="54"/>
        <v/>
      </c>
    </row>
    <row r="258" spans="1:12">
      <c r="A258" s="12" t="str">
        <f t="shared" si="55"/>
        <v/>
      </c>
      <c r="B258" s="13" t="str">
        <f t="shared" si="44"/>
        <v/>
      </c>
      <c r="C258" s="14" t="str">
        <f t="shared" si="45"/>
        <v/>
      </c>
      <c r="D258" s="13" t="str">
        <f t="shared" si="46"/>
        <v/>
      </c>
      <c r="E258" s="14" t="str">
        <f t="shared" si="47"/>
        <v/>
      </c>
      <c r="F258" s="1" t="str">
        <f t="shared" si="48"/>
        <v/>
      </c>
      <c r="G258" s="1" t="str">
        <f t="shared" si="49"/>
        <v/>
      </c>
      <c r="H258" s="1" t="str">
        <f t="shared" si="50"/>
        <v/>
      </c>
      <c r="I258" s="1" t="str">
        <f t="shared" si="51"/>
        <v/>
      </c>
      <c r="J258" s="1" t="str">
        <f t="shared" si="52"/>
        <v/>
      </c>
      <c r="K258" s="1" t="str">
        <f t="shared" si="53"/>
        <v/>
      </c>
      <c r="L258" s="1" t="str">
        <f t="shared" si="54"/>
        <v/>
      </c>
    </row>
    <row r="259" spans="1:12">
      <c r="A259" s="12" t="str">
        <f t="shared" si="55"/>
        <v/>
      </c>
      <c r="B259" s="13" t="str">
        <f t="shared" si="44"/>
        <v/>
      </c>
      <c r="C259" s="14" t="str">
        <f t="shared" si="45"/>
        <v/>
      </c>
      <c r="D259" s="13" t="str">
        <f t="shared" si="46"/>
        <v/>
      </c>
      <c r="E259" s="14" t="str">
        <f t="shared" si="47"/>
        <v/>
      </c>
      <c r="F259" s="1" t="str">
        <f t="shared" si="48"/>
        <v/>
      </c>
      <c r="G259" s="1" t="str">
        <f t="shared" si="49"/>
        <v/>
      </c>
      <c r="H259" s="1" t="str">
        <f t="shared" si="50"/>
        <v/>
      </c>
      <c r="I259" s="1" t="str">
        <f t="shared" si="51"/>
        <v/>
      </c>
      <c r="J259" s="1" t="str">
        <f t="shared" si="52"/>
        <v/>
      </c>
      <c r="K259" s="1" t="str">
        <f t="shared" si="53"/>
        <v/>
      </c>
      <c r="L259" s="1" t="str">
        <f t="shared" si="54"/>
        <v/>
      </c>
    </row>
    <row r="260" spans="1:12">
      <c r="A260" s="12" t="str">
        <f t="shared" si="55"/>
        <v/>
      </c>
      <c r="B260" s="13" t="str">
        <f t="shared" si="44"/>
        <v/>
      </c>
      <c r="C260" s="14" t="str">
        <f t="shared" si="45"/>
        <v/>
      </c>
      <c r="D260" s="13" t="str">
        <f t="shared" si="46"/>
        <v/>
      </c>
      <c r="E260" s="14" t="str">
        <f t="shared" si="47"/>
        <v/>
      </c>
      <c r="F260" s="1" t="str">
        <f t="shared" si="48"/>
        <v/>
      </c>
      <c r="G260" s="1" t="str">
        <f t="shared" si="49"/>
        <v/>
      </c>
      <c r="H260" s="1" t="str">
        <f t="shared" si="50"/>
        <v/>
      </c>
      <c r="I260" s="1" t="str">
        <f t="shared" si="51"/>
        <v/>
      </c>
      <c r="J260" s="1" t="str">
        <f t="shared" si="52"/>
        <v/>
      </c>
      <c r="K260" s="1" t="str">
        <f t="shared" si="53"/>
        <v/>
      </c>
      <c r="L260" s="1" t="str">
        <f t="shared" si="54"/>
        <v/>
      </c>
    </row>
    <row r="261" spans="1:12">
      <c r="A261" s="12" t="str">
        <f t="shared" si="55"/>
        <v/>
      </c>
      <c r="B261" s="13" t="str">
        <f t="shared" si="44"/>
        <v/>
      </c>
      <c r="C261" s="14" t="str">
        <f t="shared" si="45"/>
        <v/>
      </c>
      <c r="D261" s="13" t="str">
        <f t="shared" si="46"/>
        <v/>
      </c>
      <c r="E261" s="14" t="str">
        <f t="shared" si="47"/>
        <v/>
      </c>
      <c r="F261" s="1" t="str">
        <f t="shared" si="48"/>
        <v/>
      </c>
      <c r="G261" s="1" t="str">
        <f t="shared" si="49"/>
        <v/>
      </c>
      <c r="H261" s="1" t="str">
        <f t="shared" si="50"/>
        <v/>
      </c>
      <c r="I261" s="1" t="str">
        <f t="shared" si="51"/>
        <v/>
      </c>
      <c r="J261" s="1" t="str">
        <f t="shared" si="52"/>
        <v/>
      </c>
      <c r="K261" s="1" t="str">
        <f t="shared" si="53"/>
        <v/>
      </c>
      <c r="L261" s="1" t="str">
        <f t="shared" si="54"/>
        <v/>
      </c>
    </row>
    <row r="262" spans="1:12">
      <c r="A262" s="12" t="str">
        <f t="shared" si="55"/>
        <v/>
      </c>
      <c r="B262" s="13" t="str">
        <f t="shared" si="44"/>
        <v/>
      </c>
      <c r="C262" s="14" t="str">
        <f t="shared" si="45"/>
        <v/>
      </c>
      <c r="D262" s="13" t="str">
        <f t="shared" si="46"/>
        <v/>
      </c>
      <c r="E262" s="14" t="str">
        <f t="shared" si="47"/>
        <v/>
      </c>
      <c r="F262" s="1" t="str">
        <f t="shared" si="48"/>
        <v/>
      </c>
      <c r="G262" s="1" t="str">
        <f t="shared" si="49"/>
        <v/>
      </c>
      <c r="H262" s="1" t="str">
        <f t="shared" si="50"/>
        <v/>
      </c>
      <c r="I262" s="1" t="str">
        <f t="shared" si="51"/>
        <v/>
      </c>
      <c r="J262" s="1" t="str">
        <f t="shared" si="52"/>
        <v/>
      </c>
      <c r="K262" s="1" t="str">
        <f t="shared" si="53"/>
        <v/>
      </c>
      <c r="L262" s="1" t="str">
        <f t="shared" si="54"/>
        <v/>
      </c>
    </row>
    <row r="263" spans="1:12">
      <c r="A263" s="12" t="str">
        <f t="shared" si="55"/>
        <v/>
      </c>
      <c r="B263" s="13" t="str">
        <f t="shared" si="44"/>
        <v/>
      </c>
      <c r="C263" s="14" t="str">
        <f t="shared" si="45"/>
        <v/>
      </c>
      <c r="D263" s="13" t="str">
        <f t="shared" si="46"/>
        <v/>
      </c>
      <c r="E263" s="14" t="str">
        <f t="shared" si="47"/>
        <v/>
      </c>
      <c r="F263" s="1" t="str">
        <f t="shared" si="48"/>
        <v/>
      </c>
      <c r="G263" s="1" t="str">
        <f t="shared" si="49"/>
        <v/>
      </c>
      <c r="H263" s="1" t="str">
        <f t="shared" si="50"/>
        <v/>
      </c>
      <c r="I263" s="1" t="str">
        <f t="shared" si="51"/>
        <v/>
      </c>
      <c r="J263" s="1" t="str">
        <f t="shared" si="52"/>
        <v/>
      </c>
      <c r="K263" s="1" t="str">
        <f t="shared" si="53"/>
        <v/>
      </c>
      <c r="L263" s="1" t="str">
        <f t="shared" si="54"/>
        <v/>
      </c>
    </row>
    <row r="264" spans="1:12">
      <c r="A264" s="12" t="str">
        <f t="shared" si="55"/>
        <v/>
      </c>
      <c r="B264" s="13" t="str">
        <f t="shared" si="44"/>
        <v/>
      </c>
      <c r="C264" s="14" t="str">
        <f t="shared" si="45"/>
        <v/>
      </c>
      <c r="D264" s="13" t="str">
        <f t="shared" si="46"/>
        <v/>
      </c>
      <c r="E264" s="14" t="str">
        <f t="shared" si="47"/>
        <v/>
      </c>
      <c r="F264" s="1" t="str">
        <f t="shared" si="48"/>
        <v/>
      </c>
      <c r="G264" s="1" t="str">
        <f t="shared" si="49"/>
        <v/>
      </c>
      <c r="H264" s="1" t="str">
        <f t="shared" si="50"/>
        <v/>
      </c>
      <c r="I264" s="1" t="str">
        <f t="shared" si="51"/>
        <v/>
      </c>
      <c r="J264" s="1" t="str">
        <f t="shared" si="52"/>
        <v/>
      </c>
      <c r="K264" s="1" t="str">
        <f t="shared" si="53"/>
        <v/>
      </c>
      <c r="L264" s="1" t="str">
        <f t="shared" si="54"/>
        <v/>
      </c>
    </row>
    <row r="265" spans="1:12">
      <c r="A265" s="12" t="str">
        <f t="shared" si="55"/>
        <v/>
      </c>
      <c r="B265" s="13" t="str">
        <f t="shared" si="44"/>
        <v/>
      </c>
      <c r="C265" s="14" t="str">
        <f t="shared" si="45"/>
        <v/>
      </c>
      <c r="D265" s="13" t="str">
        <f t="shared" si="46"/>
        <v/>
      </c>
      <c r="E265" s="14" t="str">
        <f t="shared" si="47"/>
        <v/>
      </c>
      <c r="F265" s="1" t="str">
        <f t="shared" si="48"/>
        <v/>
      </c>
      <c r="G265" s="1" t="str">
        <f t="shared" si="49"/>
        <v/>
      </c>
      <c r="H265" s="1" t="str">
        <f t="shared" si="50"/>
        <v/>
      </c>
      <c r="I265" s="1" t="str">
        <f t="shared" si="51"/>
        <v/>
      </c>
      <c r="J265" s="1" t="str">
        <f t="shared" si="52"/>
        <v/>
      </c>
      <c r="K265" s="1" t="str">
        <f t="shared" si="53"/>
        <v/>
      </c>
      <c r="L265" s="1" t="str">
        <f t="shared" si="54"/>
        <v/>
      </c>
    </row>
    <row r="266" spans="1:12">
      <c r="A266" s="12" t="str">
        <f t="shared" si="55"/>
        <v/>
      </c>
      <c r="B266" s="13" t="str">
        <f t="shared" si="44"/>
        <v/>
      </c>
      <c r="C266" s="14" t="str">
        <f t="shared" si="45"/>
        <v/>
      </c>
      <c r="D266" s="13" t="str">
        <f t="shared" si="46"/>
        <v/>
      </c>
      <c r="E266" s="14" t="str">
        <f t="shared" si="47"/>
        <v/>
      </c>
      <c r="F266" s="1" t="str">
        <f t="shared" si="48"/>
        <v/>
      </c>
      <c r="G266" s="1" t="str">
        <f t="shared" si="49"/>
        <v/>
      </c>
      <c r="H266" s="1" t="str">
        <f t="shared" si="50"/>
        <v/>
      </c>
      <c r="I266" s="1" t="str">
        <f t="shared" si="51"/>
        <v/>
      </c>
      <c r="J266" s="1" t="str">
        <f t="shared" si="52"/>
        <v/>
      </c>
      <c r="K266" s="1" t="str">
        <f t="shared" si="53"/>
        <v/>
      </c>
      <c r="L266" s="1" t="str">
        <f t="shared" si="54"/>
        <v/>
      </c>
    </row>
    <row r="267" spans="1:12">
      <c r="A267" s="12" t="str">
        <f t="shared" si="55"/>
        <v/>
      </c>
      <c r="B267" s="13" t="str">
        <f t="shared" si="44"/>
        <v/>
      </c>
      <c r="C267" s="14" t="str">
        <f t="shared" si="45"/>
        <v/>
      </c>
      <c r="D267" s="13" t="str">
        <f t="shared" si="46"/>
        <v/>
      </c>
      <c r="E267" s="14" t="str">
        <f t="shared" si="47"/>
        <v/>
      </c>
      <c r="F267" s="1" t="str">
        <f t="shared" si="48"/>
        <v/>
      </c>
      <c r="G267" s="1" t="str">
        <f t="shared" si="49"/>
        <v/>
      </c>
      <c r="H267" s="1" t="str">
        <f t="shared" si="50"/>
        <v/>
      </c>
      <c r="I267" s="1" t="str">
        <f t="shared" si="51"/>
        <v/>
      </c>
      <c r="J267" s="1" t="str">
        <f t="shared" si="52"/>
        <v/>
      </c>
      <c r="K267" s="1" t="str">
        <f t="shared" si="53"/>
        <v/>
      </c>
      <c r="L267" s="1" t="str">
        <f t="shared" si="54"/>
        <v/>
      </c>
    </row>
    <row r="268" spans="1:12">
      <c r="A268" s="12" t="str">
        <f t="shared" si="55"/>
        <v/>
      </c>
      <c r="B268" s="13" t="str">
        <f t="shared" si="44"/>
        <v/>
      </c>
      <c r="C268" s="14" t="str">
        <f t="shared" si="45"/>
        <v/>
      </c>
      <c r="D268" s="13" t="str">
        <f t="shared" si="46"/>
        <v/>
      </c>
      <c r="E268" s="14" t="str">
        <f t="shared" si="47"/>
        <v/>
      </c>
      <c r="F268" s="1" t="str">
        <f t="shared" si="48"/>
        <v/>
      </c>
      <c r="G268" s="1" t="str">
        <f t="shared" si="49"/>
        <v/>
      </c>
      <c r="H268" s="1" t="str">
        <f t="shared" si="50"/>
        <v/>
      </c>
      <c r="I268" s="1" t="str">
        <f t="shared" si="51"/>
        <v/>
      </c>
      <c r="J268" s="1" t="str">
        <f t="shared" si="52"/>
        <v/>
      </c>
      <c r="K268" s="1" t="str">
        <f t="shared" si="53"/>
        <v/>
      </c>
      <c r="L268" s="1" t="str">
        <f t="shared" si="54"/>
        <v/>
      </c>
    </row>
    <row r="269" spans="1:12">
      <c r="A269" s="12" t="str">
        <f t="shared" si="55"/>
        <v/>
      </c>
      <c r="B269" s="13" t="str">
        <f t="shared" si="44"/>
        <v/>
      </c>
      <c r="C269" s="14" t="str">
        <f t="shared" si="45"/>
        <v/>
      </c>
      <c r="D269" s="13" t="str">
        <f t="shared" si="46"/>
        <v/>
      </c>
      <c r="E269" s="14" t="str">
        <f t="shared" si="47"/>
        <v/>
      </c>
      <c r="F269" s="1" t="str">
        <f t="shared" si="48"/>
        <v/>
      </c>
      <c r="G269" s="1" t="str">
        <f t="shared" si="49"/>
        <v/>
      </c>
      <c r="H269" s="1" t="str">
        <f t="shared" si="50"/>
        <v/>
      </c>
      <c r="I269" s="1" t="str">
        <f t="shared" si="51"/>
        <v/>
      </c>
      <c r="J269" s="1" t="str">
        <f t="shared" si="52"/>
        <v/>
      </c>
      <c r="K269" s="1" t="str">
        <f t="shared" si="53"/>
        <v/>
      </c>
      <c r="L269" s="1" t="str">
        <f t="shared" si="54"/>
        <v/>
      </c>
    </row>
    <row r="270" spans="1:12">
      <c r="A270" s="12" t="str">
        <f t="shared" si="55"/>
        <v/>
      </c>
      <c r="B270" s="13" t="str">
        <f t="shared" si="44"/>
        <v/>
      </c>
      <c r="C270" s="14" t="str">
        <f t="shared" si="45"/>
        <v/>
      </c>
      <c r="D270" s="13" t="str">
        <f t="shared" si="46"/>
        <v/>
      </c>
      <c r="E270" s="14" t="str">
        <f t="shared" si="47"/>
        <v/>
      </c>
      <c r="F270" s="1" t="str">
        <f t="shared" si="48"/>
        <v/>
      </c>
      <c r="G270" s="1" t="str">
        <f t="shared" si="49"/>
        <v/>
      </c>
      <c r="H270" s="1" t="str">
        <f t="shared" si="50"/>
        <v/>
      </c>
      <c r="I270" s="1" t="str">
        <f t="shared" si="51"/>
        <v/>
      </c>
      <c r="J270" s="1" t="str">
        <f t="shared" si="52"/>
        <v/>
      </c>
      <c r="K270" s="1" t="str">
        <f t="shared" si="53"/>
        <v/>
      </c>
      <c r="L270" s="1" t="str">
        <f t="shared" si="54"/>
        <v/>
      </c>
    </row>
    <row r="271" spans="1:12">
      <c r="A271" s="12" t="str">
        <f t="shared" si="55"/>
        <v/>
      </c>
      <c r="B271" s="13" t="str">
        <f t="shared" si="44"/>
        <v/>
      </c>
      <c r="C271" s="14" t="str">
        <f t="shared" si="45"/>
        <v/>
      </c>
      <c r="D271" s="13" t="str">
        <f t="shared" si="46"/>
        <v/>
      </c>
      <c r="E271" s="14" t="str">
        <f t="shared" si="47"/>
        <v/>
      </c>
      <c r="F271" s="1" t="str">
        <f t="shared" si="48"/>
        <v/>
      </c>
      <c r="G271" s="1" t="str">
        <f t="shared" si="49"/>
        <v/>
      </c>
      <c r="H271" s="1" t="str">
        <f t="shared" si="50"/>
        <v/>
      </c>
      <c r="I271" s="1" t="str">
        <f t="shared" si="51"/>
        <v/>
      </c>
      <c r="J271" s="1" t="str">
        <f t="shared" si="52"/>
        <v/>
      </c>
      <c r="K271" s="1" t="str">
        <f t="shared" si="53"/>
        <v/>
      </c>
      <c r="L271" s="1" t="str">
        <f t="shared" si="54"/>
        <v/>
      </c>
    </row>
    <row r="272" spans="1:12">
      <c r="A272" s="12" t="str">
        <f t="shared" si="55"/>
        <v/>
      </c>
      <c r="B272" s="13" t="str">
        <f t="shared" si="44"/>
        <v/>
      </c>
      <c r="C272" s="14" t="str">
        <f t="shared" si="45"/>
        <v/>
      </c>
      <c r="D272" s="13" t="str">
        <f t="shared" si="46"/>
        <v/>
      </c>
      <c r="E272" s="14" t="str">
        <f t="shared" si="47"/>
        <v/>
      </c>
      <c r="F272" s="1" t="str">
        <f t="shared" si="48"/>
        <v/>
      </c>
      <c r="G272" s="1" t="str">
        <f t="shared" si="49"/>
        <v/>
      </c>
      <c r="H272" s="1" t="str">
        <f t="shared" si="50"/>
        <v/>
      </c>
      <c r="I272" s="1" t="str">
        <f t="shared" si="51"/>
        <v/>
      </c>
      <c r="J272" s="1" t="str">
        <f t="shared" si="52"/>
        <v/>
      </c>
      <c r="K272" s="1" t="str">
        <f t="shared" si="53"/>
        <v/>
      </c>
      <c r="L272" s="1" t="str">
        <f t="shared" si="54"/>
        <v/>
      </c>
    </row>
    <row r="273" spans="1:12">
      <c r="A273" s="12" t="str">
        <f t="shared" si="55"/>
        <v/>
      </c>
      <c r="B273" s="13" t="str">
        <f t="shared" si="44"/>
        <v/>
      </c>
      <c r="C273" s="14" t="str">
        <f t="shared" si="45"/>
        <v/>
      </c>
      <c r="D273" s="13" t="str">
        <f t="shared" si="46"/>
        <v/>
      </c>
      <c r="E273" s="14" t="str">
        <f t="shared" si="47"/>
        <v/>
      </c>
      <c r="F273" s="1" t="str">
        <f t="shared" si="48"/>
        <v/>
      </c>
      <c r="G273" s="1" t="str">
        <f t="shared" si="49"/>
        <v/>
      </c>
      <c r="H273" s="1" t="str">
        <f t="shared" si="50"/>
        <v/>
      </c>
      <c r="I273" s="1" t="str">
        <f t="shared" si="51"/>
        <v/>
      </c>
      <c r="J273" s="1" t="str">
        <f t="shared" si="52"/>
        <v/>
      </c>
      <c r="K273" s="1" t="str">
        <f t="shared" si="53"/>
        <v/>
      </c>
      <c r="L273" s="1" t="str">
        <f t="shared" si="54"/>
        <v/>
      </c>
    </row>
    <row r="274" spans="1:12">
      <c r="A274" s="12" t="str">
        <f t="shared" si="55"/>
        <v/>
      </c>
      <c r="B274" s="13" t="str">
        <f t="shared" si="44"/>
        <v/>
      </c>
      <c r="C274" s="14" t="str">
        <f t="shared" si="45"/>
        <v/>
      </c>
      <c r="D274" s="13" t="str">
        <f t="shared" si="46"/>
        <v/>
      </c>
      <c r="E274" s="14" t="str">
        <f t="shared" si="47"/>
        <v/>
      </c>
      <c r="F274" s="1" t="str">
        <f t="shared" si="48"/>
        <v/>
      </c>
      <c r="G274" s="1" t="str">
        <f t="shared" si="49"/>
        <v/>
      </c>
      <c r="H274" s="1" t="str">
        <f t="shared" si="50"/>
        <v/>
      </c>
      <c r="I274" s="1" t="str">
        <f t="shared" si="51"/>
        <v/>
      </c>
      <c r="J274" s="1" t="str">
        <f t="shared" si="52"/>
        <v/>
      </c>
      <c r="K274" s="1" t="str">
        <f t="shared" si="53"/>
        <v/>
      </c>
      <c r="L274" s="1" t="str">
        <f t="shared" si="54"/>
        <v/>
      </c>
    </row>
    <row r="275" spans="1:12">
      <c r="A275" s="12" t="str">
        <f t="shared" si="55"/>
        <v/>
      </c>
      <c r="B275" s="13" t="str">
        <f t="shared" si="44"/>
        <v/>
      </c>
      <c r="C275" s="14" t="str">
        <f t="shared" si="45"/>
        <v/>
      </c>
      <c r="D275" s="13" t="str">
        <f t="shared" si="46"/>
        <v/>
      </c>
      <c r="E275" s="14" t="str">
        <f t="shared" si="47"/>
        <v/>
      </c>
      <c r="F275" s="1" t="str">
        <f t="shared" si="48"/>
        <v/>
      </c>
      <c r="G275" s="1" t="str">
        <f t="shared" si="49"/>
        <v/>
      </c>
      <c r="H275" s="1" t="str">
        <f t="shared" si="50"/>
        <v/>
      </c>
      <c r="I275" s="1" t="str">
        <f t="shared" si="51"/>
        <v/>
      </c>
      <c r="J275" s="1" t="str">
        <f t="shared" si="52"/>
        <v/>
      </c>
      <c r="K275" s="1" t="str">
        <f t="shared" si="53"/>
        <v/>
      </c>
      <c r="L275" s="1" t="str">
        <f t="shared" si="54"/>
        <v/>
      </c>
    </row>
    <row r="276" spans="1:12">
      <c r="A276" s="12" t="str">
        <f t="shared" si="55"/>
        <v/>
      </c>
      <c r="B276" s="13" t="str">
        <f t="shared" si="44"/>
        <v/>
      </c>
      <c r="C276" s="14" t="str">
        <f t="shared" si="45"/>
        <v/>
      </c>
      <c r="D276" s="13" t="str">
        <f t="shared" si="46"/>
        <v/>
      </c>
      <c r="E276" s="14" t="str">
        <f t="shared" si="47"/>
        <v/>
      </c>
      <c r="F276" s="1" t="str">
        <f t="shared" si="48"/>
        <v/>
      </c>
      <c r="G276" s="1" t="str">
        <f t="shared" si="49"/>
        <v/>
      </c>
      <c r="H276" s="1" t="str">
        <f t="shared" si="50"/>
        <v/>
      </c>
      <c r="I276" s="1" t="str">
        <f t="shared" si="51"/>
        <v/>
      </c>
      <c r="J276" s="1" t="str">
        <f t="shared" si="52"/>
        <v/>
      </c>
      <c r="K276" s="1" t="str">
        <f t="shared" si="53"/>
        <v/>
      </c>
      <c r="L276" s="1" t="str">
        <f t="shared" si="54"/>
        <v/>
      </c>
    </row>
    <row r="277" spans="1:12">
      <c r="A277" s="12" t="str">
        <f t="shared" si="55"/>
        <v/>
      </c>
      <c r="B277" s="13" t="str">
        <f t="shared" si="44"/>
        <v/>
      </c>
      <c r="C277" s="14" t="str">
        <f t="shared" si="45"/>
        <v/>
      </c>
      <c r="D277" s="13" t="str">
        <f t="shared" si="46"/>
        <v/>
      </c>
      <c r="E277" s="14" t="str">
        <f t="shared" si="47"/>
        <v/>
      </c>
      <c r="F277" s="1" t="str">
        <f t="shared" si="48"/>
        <v/>
      </c>
      <c r="G277" s="1" t="str">
        <f t="shared" si="49"/>
        <v/>
      </c>
      <c r="H277" s="1" t="str">
        <f t="shared" si="50"/>
        <v/>
      </c>
      <c r="I277" s="1" t="str">
        <f t="shared" si="51"/>
        <v/>
      </c>
      <c r="J277" s="1" t="str">
        <f t="shared" si="52"/>
        <v/>
      </c>
      <c r="K277" s="1" t="str">
        <f t="shared" si="53"/>
        <v/>
      </c>
      <c r="L277" s="1" t="str">
        <f t="shared" si="54"/>
        <v/>
      </c>
    </row>
    <row r="278" spans="1:12">
      <c r="A278" s="12" t="str">
        <f t="shared" si="55"/>
        <v/>
      </c>
      <c r="B278" s="13" t="str">
        <f t="shared" si="44"/>
        <v/>
      </c>
      <c r="C278" s="14" t="str">
        <f t="shared" si="45"/>
        <v/>
      </c>
      <c r="D278" s="13" t="str">
        <f t="shared" si="46"/>
        <v/>
      </c>
      <c r="E278" s="14" t="str">
        <f t="shared" si="47"/>
        <v/>
      </c>
      <c r="F278" s="1" t="str">
        <f t="shared" si="48"/>
        <v/>
      </c>
      <c r="G278" s="1" t="str">
        <f t="shared" si="49"/>
        <v/>
      </c>
      <c r="H278" s="1" t="str">
        <f t="shared" si="50"/>
        <v/>
      </c>
      <c r="I278" s="1" t="str">
        <f t="shared" si="51"/>
        <v/>
      </c>
      <c r="J278" s="1" t="str">
        <f t="shared" si="52"/>
        <v/>
      </c>
      <c r="K278" s="1" t="str">
        <f t="shared" si="53"/>
        <v/>
      </c>
      <c r="L278" s="1" t="str">
        <f t="shared" si="54"/>
        <v/>
      </c>
    </row>
    <row r="279" spans="1:12">
      <c r="A279" s="12" t="str">
        <f t="shared" si="55"/>
        <v/>
      </c>
      <c r="B279" s="13" t="str">
        <f t="shared" si="44"/>
        <v/>
      </c>
      <c r="C279" s="14" t="str">
        <f t="shared" si="45"/>
        <v/>
      </c>
      <c r="D279" s="13" t="str">
        <f t="shared" si="46"/>
        <v/>
      </c>
      <c r="E279" s="14" t="str">
        <f t="shared" si="47"/>
        <v/>
      </c>
      <c r="F279" s="1" t="str">
        <f t="shared" si="48"/>
        <v/>
      </c>
      <c r="G279" s="1" t="str">
        <f t="shared" si="49"/>
        <v/>
      </c>
      <c r="H279" s="1" t="str">
        <f t="shared" si="50"/>
        <v/>
      </c>
      <c r="I279" s="1" t="str">
        <f t="shared" si="51"/>
        <v/>
      </c>
      <c r="J279" s="1" t="str">
        <f t="shared" si="52"/>
        <v/>
      </c>
      <c r="K279" s="1" t="str">
        <f t="shared" si="53"/>
        <v/>
      </c>
      <c r="L279" s="1" t="str">
        <f t="shared" si="54"/>
        <v/>
      </c>
    </row>
    <row r="280" spans="1:12">
      <c r="A280" s="12" t="str">
        <f t="shared" si="55"/>
        <v/>
      </c>
      <c r="B280" s="13" t="str">
        <f t="shared" si="44"/>
        <v/>
      </c>
      <c r="C280" s="14" t="str">
        <f t="shared" si="45"/>
        <v/>
      </c>
      <c r="D280" s="13" t="str">
        <f t="shared" si="46"/>
        <v/>
      </c>
      <c r="E280" s="14" t="str">
        <f t="shared" si="47"/>
        <v/>
      </c>
      <c r="F280" s="1" t="str">
        <f t="shared" si="48"/>
        <v/>
      </c>
      <c r="G280" s="1" t="str">
        <f t="shared" si="49"/>
        <v/>
      </c>
      <c r="H280" s="1" t="str">
        <f t="shared" si="50"/>
        <v/>
      </c>
      <c r="I280" s="1" t="str">
        <f t="shared" si="51"/>
        <v/>
      </c>
      <c r="J280" s="1" t="str">
        <f t="shared" si="52"/>
        <v/>
      </c>
      <c r="K280" s="1" t="str">
        <f t="shared" si="53"/>
        <v/>
      </c>
      <c r="L280" s="1" t="str">
        <f t="shared" si="54"/>
        <v/>
      </c>
    </row>
    <row r="281" spans="1:12">
      <c r="A281" s="12" t="str">
        <f t="shared" si="55"/>
        <v/>
      </c>
      <c r="B281" s="13" t="str">
        <f t="shared" si="44"/>
        <v/>
      </c>
      <c r="C281" s="14" t="str">
        <f t="shared" si="45"/>
        <v/>
      </c>
      <c r="D281" s="13" t="str">
        <f t="shared" si="46"/>
        <v/>
      </c>
      <c r="E281" s="14" t="str">
        <f t="shared" si="47"/>
        <v/>
      </c>
      <c r="F281" s="1" t="str">
        <f t="shared" si="48"/>
        <v/>
      </c>
      <c r="G281" s="1" t="str">
        <f t="shared" si="49"/>
        <v/>
      </c>
      <c r="H281" s="1" t="str">
        <f t="shared" si="50"/>
        <v/>
      </c>
      <c r="I281" s="1" t="str">
        <f t="shared" si="51"/>
        <v/>
      </c>
      <c r="J281" s="1" t="str">
        <f t="shared" si="52"/>
        <v/>
      </c>
      <c r="K281" s="1" t="str">
        <f t="shared" si="53"/>
        <v/>
      </c>
      <c r="L281" s="1" t="str">
        <f t="shared" si="54"/>
        <v/>
      </c>
    </row>
    <row r="282" spans="1:12">
      <c r="A282" s="12" t="str">
        <f t="shared" si="55"/>
        <v/>
      </c>
      <c r="B282" s="13" t="str">
        <f t="shared" si="44"/>
        <v/>
      </c>
      <c r="C282" s="14" t="str">
        <f t="shared" si="45"/>
        <v/>
      </c>
      <c r="D282" s="13" t="str">
        <f t="shared" si="46"/>
        <v/>
      </c>
      <c r="E282" s="14" t="str">
        <f t="shared" si="47"/>
        <v/>
      </c>
      <c r="F282" s="1" t="str">
        <f t="shared" si="48"/>
        <v/>
      </c>
      <c r="G282" s="1" t="str">
        <f t="shared" si="49"/>
        <v/>
      </c>
      <c r="H282" s="1" t="str">
        <f t="shared" si="50"/>
        <v/>
      </c>
      <c r="I282" s="1" t="str">
        <f t="shared" si="51"/>
        <v/>
      </c>
      <c r="J282" s="1" t="str">
        <f t="shared" si="52"/>
        <v/>
      </c>
      <c r="K282" s="1" t="str">
        <f t="shared" si="53"/>
        <v/>
      </c>
      <c r="L282" s="1" t="str">
        <f t="shared" si="54"/>
        <v/>
      </c>
    </row>
    <row r="283" spans="1:12">
      <c r="A283" s="12" t="str">
        <f t="shared" si="55"/>
        <v/>
      </c>
      <c r="B283" s="13" t="str">
        <f t="shared" si="44"/>
        <v/>
      </c>
      <c r="C283" s="14" t="str">
        <f t="shared" si="45"/>
        <v/>
      </c>
      <c r="D283" s="13" t="str">
        <f t="shared" si="46"/>
        <v/>
      </c>
      <c r="E283" s="14" t="str">
        <f t="shared" si="47"/>
        <v/>
      </c>
      <c r="F283" s="1" t="str">
        <f t="shared" si="48"/>
        <v/>
      </c>
      <c r="G283" s="1" t="str">
        <f t="shared" si="49"/>
        <v/>
      </c>
      <c r="H283" s="1" t="str">
        <f t="shared" si="50"/>
        <v/>
      </c>
      <c r="I283" s="1" t="str">
        <f t="shared" si="51"/>
        <v/>
      </c>
      <c r="J283" s="1" t="str">
        <f t="shared" si="52"/>
        <v/>
      </c>
      <c r="K283" s="1" t="str">
        <f t="shared" si="53"/>
        <v/>
      </c>
      <c r="L283" s="1" t="str">
        <f t="shared" si="54"/>
        <v/>
      </c>
    </row>
    <row r="284" spans="1:12">
      <c r="A284" s="12" t="str">
        <f t="shared" si="55"/>
        <v/>
      </c>
      <c r="B284" s="13" t="str">
        <f t="shared" si="44"/>
        <v/>
      </c>
      <c r="C284" s="14" t="str">
        <f t="shared" si="45"/>
        <v/>
      </c>
      <c r="D284" s="13" t="str">
        <f t="shared" si="46"/>
        <v/>
      </c>
      <c r="E284" s="14" t="str">
        <f t="shared" si="47"/>
        <v/>
      </c>
      <c r="F284" s="1" t="str">
        <f t="shared" si="48"/>
        <v/>
      </c>
      <c r="G284" s="1" t="str">
        <f t="shared" si="49"/>
        <v/>
      </c>
      <c r="H284" s="1" t="str">
        <f t="shared" si="50"/>
        <v/>
      </c>
      <c r="I284" s="1" t="str">
        <f t="shared" si="51"/>
        <v/>
      </c>
      <c r="J284" s="1" t="str">
        <f t="shared" si="52"/>
        <v/>
      </c>
      <c r="K284" s="1" t="str">
        <f t="shared" si="53"/>
        <v/>
      </c>
      <c r="L284" s="1" t="str">
        <f t="shared" si="54"/>
        <v/>
      </c>
    </row>
    <row r="285" spans="1:12">
      <c r="A285" s="12" t="str">
        <f t="shared" si="55"/>
        <v/>
      </c>
      <c r="B285" s="13" t="str">
        <f t="shared" si="44"/>
        <v/>
      </c>
      <c r="C285" s="14" t="str">
        <f t="shared" si="45"/>
        <v/>
      </c>
      <c r="D285" s="13" t="str">
        <f t="shared" si="46"/>
        <v/>
      </c>
      <c r="E285" s="14" t="str">
        <f t="shared" si="47"/>
        <v/>
      </c>
      <c r="F285" s="1" t="str">
        <f t="shared" si="48"/>
        <v/>
      </c>
      <c r="G285" s="1" t="str">
        <f t="shared" si="49"/>
        <v/>
      </c>
      <c r="H285" s="1" t="str">
        <f t="shared" si="50"/>
        <v/>
      </c>
      <c r="I285" s="1" t="str">
        <f t="shared" si="51"/>
        <v/>
      </c>
      <c r="J285" s="1" t="str">
        <f t="shared" si="52"/>
        <v/>
      </c>
      <c r="K285" s="1" t="str">
        <f t="shared" si="53"/>
        <v/>
      </c>
      <c r="L285" s="1" t="str">
        <f t="shared" si="54"/>
        <v/>
      </c>
    </row>
    <row r="286" spans="1:12">
      <c r="A286" s="12" t="str">
        <f t="shared" si="55"/>
        <v/>
      </c>
      <c r="B286" s="13" t="str">
        <f t="shared" si="44"/>
        <v/>
      </c>
      <c r="C286" s="14" t="str">
        <f t="shared" si="45"/>
        <v/>
      </c>
      <c r="D286" s="13" t="str">
        <f t="shared" si="46"/>
        <v/>
      </c>
      <c r="E286" s="14" t="str">
        <f t="shared" si="47"/>
        <v/>
      </c>
      <c r="F286" s="1" t="str">
        <f t="shared" si="48"/>
        <v/>
      </c>
      <c r="G286" s="1" t="str">
        <f t="shared" si="49"/>
        <v/>
      </c>
      <c r="H286" s="1" t="str">
        <f t="shared" si="50"/>
        <v/>
      </c>
      <c r="I286" s="1" t="str">
        <f t="shared" si="51"/>
        <v/>
      </c>
      <c r="J286" s="1" t="str">
        <f t="shared" si="52"/>
        <v/>
      </c>
      <c r="K286" s="1" t="str">
        <f t="shared" si="53"/>
        <v/>
      </c>
      <c r="L286" s="1" t="str">
        <f t="shared" si="54"/>
        <v/>
      </c>
    </row>
    <row r="287" spans="1:12">
      <c r="A287" s="12" t="str">
        <f t="shared" si="55"/>
        <v/>
      </c>
      <c r="B287" s="13" t="str">
        <f t="shared" si="44"/>
        <v/>
      </c>
      <c r="C287" s="14" t="str">
        <f t="shared" si="45"/>
        <v/>
      </c>
      <c r="D287" s="13" t="str">
        <f t="shared" si="46"/>
        <v/>
      </c>
      <c r="E287" s="14" t="str">
        <f t="shared" si="47"/>
        <v/>
      </c>
      <c r="F287" s="1" t="str">
        <f t="shared" si="48"/>
        <v/>
      </c>
      <c r="G287" s="1" t="str">
        <f t="shared" si="49"/>
        <v/>
      </c>
      <c r="H287" s="1" t="str">
        <f t="shared" si="50"/>
        <v/>
      </c>
      <c r="I287" s="1" t="str">
        <f t="shared" si="51"/>
        <v/>
      </c>
      <c r="J287" s="1" t="str">
        <f t="shared" si="52"/>
        <v/>
      </c>
      <c r="K287" s="1" t="str">
        <f t="shared" si="53"/>
        <v/>
      </c>
      <c r="L287" s="1" t="str">
        <f t="shared" si="54"/>
        <v/>
      </c>
    </row>
    <row r="288" spans="1:12">
      <c r="A288" s="12" t="str">
        <f t="shared" si="55"/>
        <v/>
      </c>
      <c r="B288" s="13" t="str">
        <f t="shared" si="44"/>
        <v/>
      </c>
      <c r="C288" s="14" t="str">
        <f t="shared" si="45"/>
        <v/>
      </c>
      <c r="D288" s="13" t="str">
        <f t="shared" si="46"/>
        <v/>
      </c>
      <c r="E288" s="14" t="str">
        <f t="shared" si="47"/>
        <v/>
      </c>
      <c r="F288" s="1" t="str">
        <f t="shared" si="48"/>
        <v/>
      </c>
      <c r="G288" s="1" t="str">
        <f t="shared" si="49"/>
        <v/>
      </c>
      <c r="H288" s="1" t="str">
        <f t="shared" si="50"/>
        <v/>
      </c>
      <c r="I288" s="1" t="str">
        <f t="shared" si="51"/>
        <v/>
      </c>
      <c r="J288" s="1" t="str">
        <f t="shared" si="52"/>
        <v/>
      </c>
      <c r="K288" s="1" t="str">
        <f t="shared" si="53"/>
        <v/>
      </c>
      <c r="L288" s="1" t="str">
        <f t="shared" si="54"/>
        <v/>
      </c>
    </row>
    <row r="289" spans="1:12">
      <c r="A289" s="12" t="str">
        <f t="shared" si="55"/>
        <v/>
      </c>
      <c r="B289" s="13" t="str">
        <f t="shared" si="44"/>
        <v/>
      </c>
      <c r="C289" s="14" t="str">
        <f t="shared" si="45"/>
        <v/>
      </c>
      <c r="D289" s="13" t="str">
        <f t="shared" si="46"/>
        <v/>
      </c>
      <c r="E289" s="14" t="str">
        <f t="shared" si="47"/>
        <v/>
      </c>
      <c r="F289" s="1" t="str">
        <f t="shared" si="48"/>
        <v/>
      </c>
      <c r="G289" s="1" t="str">
        <f t="shared" si="49"/>
        <v/>
      </c>
      <c r="H289" s="1" t="str">
        <f t="shared" si="50"/>
        <v/>
      </c>
      <c r="I289" s="1" t="str">
        <f t="shared" si="51"/>
        <v/>
      </c>
      <c r="J289" s="1" t="str">
        <f t="shared" si="52"/>
        <v/>
      </c>
      <c r="K289" s="1" t="str">
        <f t="shared" si="53"/>
        <v/>
      </c>
      <c r="L289" s="1" t="str">
        <f t="shared" si="54"/>
        <v/>
      </c>
    </row>
    <row r="290" spans="1:12">
      <c r="A290" s="12" t="str">
        <f t="shared" si="55"/>
        <v/>
      </c>
      <c r="B290" s="13" t="str">
        <f t="shared" si="44"/>
        <v/>
      </c>
      <c r="C290" s="14" t="str">
        <f t="shared" si="45"/>
        <v/>
      </c>
      <c r="D290" s="13" t="str">
        <f t="shared" si="46"/>
        <v/>
      </c>
      <c r="E290" s="14" t="str">
        <f t="shared" si="47"/>
        <v/>
      </c>
      <c r="F290" s="1" t="str">
        <f t="shared" si="48"/>
        <v/>
      </c>
      <c r="G290" s="1" t="str">
        <f t="shared" si="49"/>
        <v/>
      </c>
      <c r="H290" s="1" t="str">
        <f t="shared" si="50"/>
        <v/>
      </c>
      <c r="I290" s="1" t="str">
        <f t="shared" si="51"/>
        <v/>
      </c>
      <c r="J290" s="1" t="str">
        <f t="shared" si="52"/>
        <v/>
      </c>
      <c r="K290" s="1" t="str">
        <f t="shared" si="53"/>
        <v/>
      </c>
      <c r="L290" s="1" t="str">
        <f t="shared" si="54"/>
        <v/>
      </c>
    </row>
    <row r="291" spans="1:12">
      <c r="A291" s="12" t="str">
        <f t="shared" si="55"/>
        <v/>
      </c>
      <c r="B291" s="13" t="str">
        <f t="shared" si="44"/>
        <v/>
      </c>
      <c r="C291" s="14" t="str">
        <f t="shared" si="45"/>
        <v/>
      </c>
      <c r="D291" s="13" t="str">
        <f t="shared" si="46"/>
        <v/>
      </c>
      <c r="E291" s="14" t="str">
        <f t="shared" si="47"/>
        <v/>
      </c>
      <c r="F291" s="1" t="str">
        <f t="shared" si="48"/>
        <v/>
      </c>
      <c r="G291" s="1" t="str">
        <f t="shared" si="49"/>
        <v/>
      </c>
      <c r="H291" s="1" t="str">
        <f t="shared" si="50"/>
        <v/>
      </c>
      <c r="I291" s="1" t="str">
        <f t="shared" si="51"/>
        <v/>
      </c>
      <c r="J291" s="1" t="str">
        <f t="shared" si="52"/>
        <v/>
      </c>
      <c r="K291" s="1" t="str">
        <f t="shared" si="53"/>
        <v/>
      </c>
      <c r="L291" s="1" t="str">
        <f t="shared" si="54"/>
        <v/>
      </c>
    </row>
    <row r="292" spans="1:12">
      <c r="A292" s="12" t="str">
        <f t="shared" si="55"/>
        <v/>
      </c>
      <c r="B292" s="13" t="str">
        <f t="shared" si="44"/>
        <v/>
      </c>
      <c r="C292" s="14" t="str">
        <f t="shared" si="45"/>
        <v/>
      </c>
      <c r="D292" s="13" t="str">
        <f t="shared" si="46"/>
        <v/>
      </c>
      <c r="E292" s="14" t="str">
        <f t="shared" si="47"/>
        <v/>
      </c>
      <c r="F292" s="1" t="str">
        <f t="shared" si="48"/>
        <v/>
      </c>
      <c r="G292" s="1" t="str">
        <f t="shared" si="49"/>
        <v/>
      </c>
      <c r="H292" s="1" t="str">
        <f t="shared" si="50"/>
        <v/>
      </c>
      <c r="I292" s="1" t="str">
        <f t="shared" si="51"/>
        <v/>
      </c>
      <c r="J292" s="1" t="str">
        <f t="shared" si="52"/>
        <v/>
      </c>
      <c r="K292" s="1" t="str">
        <f t="shared" si="53"/>
        <v/>
      </c>
      <c r="L292" s="1" t="str">
        <f t="shared" si="54"/>
        <v/>
      </c>
    </row>
    <row r="293" spans="1:12">
      <c r="A293" s="12" t="str">
        <f t="shared" si="55"/>
        <v/>
      </c>
      <c r="B293" s="13" t="str">
        <f t="shared" ref="B293:B336" si="56">IF(A293="","",F293/L293)</f>
        <v/>
      </c>
      <c r="C293" s="14" t="str">
        <f t="shared" ref="C293:C336" si="57">IF(B293="","",B293/1000)</f>
        <v/>
      </c>
      <c r="D293" s="13" t="str">
        <f t="shared" ref="D293:D336" si="58">IF(B293="","",B293*SQRT(0.5))</f>
        <v/>
      </c>
      <c r="E293" s="14" t="str">
        <f t="shared" ref="E293:E336" si="59">IF(D293="","",D293/1000)</f>
        <v/>
      </c>
      <c r="F293" s="1" t="str">
        <f t="shared" ref="F293:F336" si="60">IF(A293="","",A293*1000000)</f>
        <v/>
      </c>
      <c r="G293" s="1" t="str">
        <f t="shared" ref="G293:G336" si="61">IF(F293="","",$E$3/F293)</f>
        <v/>
      </c>
      <c r="H293" s="1" t="str">
        <f t="shared" ref="H293:H336" si="62">IF(F293="","",SQRT($E$5/(PI()*F293*$E$4)))</f>
        <v/>
      </c>
      <c r="I293" s="1" t="str">
        <f t="shared" ref="I293:I336" si="63">IF(F293="","",$B$16*$E$5/(PI()*$B$13*H293))</f>
        <v/>
      </c>
      <c r="J293" s="1" t="str">
        <f t="shared" ref="J293:J336" si="64">IF(F293="","",31200*($B$17/(G293^2))^2)</f>
        <v/>
      </c>
      <c r="K293" s="1" t="str">
        <f t="shared" ref="K293:K336" si="65">IF(F293="","",I293+J293+$B$19)</f>
        <v/>
      </c>
      <c r="L293" s="1" t="str">
        <f t="shared" ref="L293:L336" si="66">IF(F293="","",2*PI()*F293*$B$18/K293)</f>
        <v/>
      </c>
    </row>
    <row r="294" spans="1:12">
      <c r="A294" s="12" t="str">
        <f t="shared" ref="A294:A336" si="67">IF(A293="","",IF(A293+$B$9&gt;$B$8,"",A293+$B$9))</f>
        <v/>
      </c>
      <c r="B294" s="13" t="str">
        <f t="shared" si="56"/>
        <v/>
      </c>
      <c r="C294" s="14" t="str">
        <f t="shared" si="57"/>
        <v/>
      </c>
      <c r="D294" s="13" t="str">
        <f t="shared" si="58"/>
        <v/>
      </c>
      <c r="E294" s="14" t="str">
        <f t="shared" si="59"/>
        <v/>
      </c>
      <c r="F294" s="1" t="str">
        <f t="shared" si="60"/>
        <v/>
      </c>
      <c r="G294" s="1" t="str">
        <f t="shared" si="61"/>
        <v/>
      </c>
      <c r="H294" s="1" t="str">
        <f t="shared" si="62"/>
        <v/>
      </c>
      <c r="I294" s="1" t="str">
        <f t="shared" si="63"/>
        <v/>
      </c>
      <c r="J294" s="1" t="str">
        <f t="shared" si="64"/>
        <v/>
      </c>
      <c r="K294" s="1" t="str">
        <f t="shared" si="65"/>
        <v/>
      </c>
      <c r="L294" s="1" t="str">
        <f t="shared" si="66"/>
        <v/>
      </c>
    </row>
    <row r="295" spans="1:12">
      <c r="A295" s="12" t="str">
        <f t="shared" si="67"/>
        <v/>
      </c>
      <c r="B295" s="13" t="str">
        <f t="shared" si="56"/>
        <v/>
      </c>
      <c r="C295" s="14" t="str">
        <f t="shared" si="57"/>
        <v/>
      </c>
      <c r="D295" s="13" t="str">
        <f t="shared" si="58"/>
        <v/>
      </c>
      <c r="E295" s="14" t="str">
        <f t="shared" si="59"/>
        <v/>
      </c>
      <c r="F295" s="1" t="str">
        <f t="shared" si="60"/>
        <v/>
      </c>
      <c r="G295" s="1" t="str">
        <f t="shared" si="61"/>
        <v/>
      </c>
      <c r="H295" s="1" t="str">
        <f t="shared" si="62"/>
        <v/>
      </c>
      <c r="I295" s="1" t="str">
        <f t="shared" si="63"/>
        <v/>
      </c>
      <c r="J295" s="1" t="str">
        <f t="shared" si="64"/>
        <v/>
      </c>
      <c r="K295" s="1" t="str">
        <f t="shared" si="65"/>
        <v/>
      </c>
      <c r="L295" s="1" t="str">
        <f t="shared" si="66"/>
        <v/>
      </c>
    </row>
    <row r="296" spans="1:12">
      <c r="A296" s="12" t="str">
        <f t="shared" si="67"/>
        <v/>
      </c>
      <c r="B296" s="13" t="str">
        <f t="shared" si="56"/>
        <v/>
      </c>
      <c r="C296" s="14" t="str">
        <f t="shared" si="57"/>
        <v/>
      </c>
      <c r="D296" s="13" t="str">
        <f t="shared" si="58"/>
        <v/>
      </c>
      <c r="E296" s="14" t="str">
        <f t="shared" si="59"/>
        <v/>
      </c>
      <c r="F296" s="1" t="str">
        <f t="shared" si="60"/>
        <v/>
      </c>
      <c r="G296" s="1" t="str">
        <f t="shared" si="61"/>
        <v/>
      </c>
      <c r="H296" s="1" t="str">
        <f t="shared" si="62"/>
        <v/>
      </c>
      <c r="I296" s="1" t="str">
        <f t="shared" si="63"/>
        <v/>
      </c>
      <c r="J296" s="1" t="str">
        <f t="shared" si="64"/>
        <v/>
      </c>
      <c r="K296" s="1" t="str">
        <f t="shared" si="65"/>
        <v/>
      </c>
      <c r="L296" s="1" t="str">
        <f t="shared" si="66"/>
        <v/>
      </c>
    </row>
    <row r="297" spans="1:12">
      <c r="A297" s="12" t="str">
        <f t="shared" si="67"/>
        <v/>
      </c>
      <c r="B297" s="13" t="str">
        <f t="shared" si="56"/>
        <v/>
      </c>
      <c r="C297" s="14" t="str">
        <f t="shared" si="57"/>
        <v/>
      </c>
      <c r="D297" s="13" t="str">
        <f t="shared" si="58"/>
        <v/>
      </c>
      <c r="E297" s="14" t="str">
        <f t="shared" si="59"/>
        <v/>
      </c>
      <c r="F297" s="1" t="str">
        <f t="shared" si="60"/>
        <v/>
      </c>
      <c r="G297" s="1" t="str">
        <f t="shared" si="61"/>
        <v/>
      </c>
      <c r="H297" s="1" t="str">
        <f t="shared" si="62"/>
        <v/>
      </c>
      <c r="I297" s="1" t="str">
        <f t="shared" si="63"/>
        <v/>
      </c>
      <c r="J297" s="1" t="str">
        <f t="shared" si="64"/>
        <v/>
      </c>
      <c r="K297" s="1" t="str">
        <f t="shared" si="65"/>
        <v/>
      </c>
      <c r="L297" s="1" t="str">
        <f t="shared" si="66"/>
        <v/>
      </c>
    </row>
    <row r="298" spans="1:12">
      <c r="A298" s="12" t="str">
        <f t="shared" si="67"/>
        <v/>
      </c>
      <c r="B298" s="13" t="str">
        <f t="shared" si="56"/>
        <v/>
      </c>
      <c r="C298" s="14" t="str">
        <f t="shared" si="57"/>
        <v/>
      </c>
      <c r="D298" s="13" t="str">
        <f t="shared" si="58"/>
        <v/>
      </c>
      <c r="E298" s="14" t="str">
        <f t="shared" si="59"/>
        <v/>
      </c>
      <c r="F298" s="1" t="str">
        <f t="shared" si="60"/>
        <v/>
      </c>
      <c r="G298" s="1" t="str">
        <f t="shared" si="61"/>
        <v/>
      </c>
      <c r="H298" s="1" t="str">
        <f t="shared" si="62"/>
        <v/>
      </c>
      <c r="I298" s="1" t="str">
        <f t="shared" si="63"/>
        <v/>
      </c>
      <c r="J298" s="1" t="str">
        <f t="shared" si="64"/>
        <v/>
      </c>
      <c r="K298" s="1" t="str">
        <f t="shared" si="65"/>
        <v/>
      </c>
      <c r="L298" s="1" t="str">
        <f t="shared" si="66"/>
        <v/>
      </c>
    </row>
    <row r="299" spans="1:12">
      <c r="A299" s="12" t="str">
        <f t="shared" si="67"/>
        <v/>
      </c>
      <c r="B299" s="13" t="str">
        <f t="shared" si="56"/>
        <v/>
      </c>
      <c r="C299" s="14" t="str">
        <f t="shared" si="57"/>
        <v/>
      </c>
      <c r="D299" s="13" t="str">
        <f t="shared" si="58"/>
        <v/>
      </c>
      <c r="E299" s="14" t="str">
        <f t="shared" si="59"/>
        <v/>
      </c>
      <c r="F299" s="1" t="str">
        <f t="shared" si="60"/>
        <v/>
      </c>
      <c r="G299" s="1" t="str">
        <f t="shared" si="61"/>
        <v/>
      </c>
      <c r="H299" s="1" t="str">
        <f t="shared" si="62"/>
        <v/>
      </c>
      <c r="I299" s="1" t="str">
        <f t="shared" si="63"/>
        <v/>
      </c>
      <c r="J299" s="1" t="str">
        <f t="shared" si="64"/>
        <v/>
      </c>
      <c r="K299" s="1" t="str">
        <f t="shared" si="65"/>
        <v/>
      </c>
      <c r="L299" s="1" t="str">
        <f t="shared" si="66"/>
        <v/>
      </c>
    </row>
    <row r="300" spans="1:12">
      <c r="A300" s="12" t="str">
        <f t="shared" si="67"/>
        <v/>
      </c>
      <c r="B300" s="13" t="str">
        <f t="shared" si="56"/>
        <v/>
      </c>
      <c r="C300" s="14" t="str">
        <f t="shared" si="57"/>
        <v/>
      </c>
      <c r="D300" s="13" t="str">
        <f t="shared" si="58"/>
        <v/>
      </c>
      <c r="E300" s="14" t="str">
        <f t="shared" si="59"/>
        <v/>
      </c>
      <c r="F300" s="1" t="str">
        <f t="shared" si="60"/>
        <v/>
      </c>
      <c r="G300" s="1" t="str">
        <f t="shared" si="61"/>
        <v/>
      </c>
      <c r="H300" s="1" t="str">
        <f t="shared" si="62"/>
        <v/>
      </c>
      <c r="I300" s="1" t="str">
        <f t="shared" si="63"/>
        <v/>
      </c>
      <c r="J300" s="1" t="str">
        <f t="shared" si="64"/>
        <v/>
      </c>
      <c r="K300" s="1" t="str">
        <f t="shared" si="65"/>
        <v/>
      </c>
      <c r="L300" s="1" t="str">
        <f t="shared" si="66"/>
        <v/>
      </c>
    </row>
    <row r="301" spans="1:12">
      <c r="A301" s="12" t="str">
        <f t="shared" si="67"/>
        <v/>
      </c>
      <c r="B301" s="13" t="str">
        <f t="shared" si="56"/>
        <v/>
      </c>
      <c r="C301" s="14" t="str">
        <f t="shared" si="57"/>
        <v/>
      </c>
      <c r="D301" s="13" t="str">
        <f t="shared" si="58"/>
        <v/>
      </c>
      <c r="E301" s="14" t="str">
        <f t="shared" si="59"/>
        <v/>
      </c>
      <c r="F301" s="1" t="str">
        <f t="shared" si="60"/>
        <v/>
      </c>
      <c r="G301" s="1" t="str">
        <f t="shared" si="61"/>
        <v/>
      </c>
      <c r="H301" s="1" t="str">
        <f t="shared" si="62"/>
        <v/>
      </c>
      <c r="I301" s="1" t="str">
        <f t="shared" si="63"/>
        <v/>
      </c>
      <c r="J301" s="1" t="str">
        <f t="shared" si="64"/>
        <v/>
      </c>
      <c r="K301" s="1" t="str">
        <f t="shared" si="65"/>
        <v/>
      </c>
      <c r="L301" s="1" t="str">
        <f t="shared" si="66"/>
        <v/>
      </c>
    </row>
    <row r="302" spans="1:12">
      <c r="A302" s="12" t="str">
        <f t="shared" si="67"/>
        <v/>
      </c>
      <c r="B302" s="13" t="str">
        <f t="shared" si="56"/>
        <v/>
      </c>
      <c r="C302" s="14" t="str">
        <f t="shared" si="57"/>
        <v/>
      </c>
      <c r="D302" s="13" t="str">
        <f t="shared" si="58"/>
        <v/>
      </c>
      <c r="E302" s="14" t="str">
        <f t="shared" si="59"/>
        <v/>
      </c>
      <c r="F302" s="1" t="str">
        <f t="shared" si="60"/>
        <v/>
      </c>
      <c r="G302" s="1" t="str">
        <f t="shared" si="61"/>
        <v/>
      </c>
      <c r="H302" s="1" t="str">
        <f t="shared" si="62"/>
        <v/>
      </c>
      <c r="I302" s="1" t="str">
        <f t="shared" si="63"/>
        <v/>
      </c>
      <c r="J302" s="1" t="str">
        <f t="shared" si="64"/>
        <v/>
      </c>
      <c r="K302" s="1" t="str">
        <f t="shared" si="65"/>
        <v/>
      </c>
      <c r="L302" s="1" t="str">
        <f t="shared" si="66"/>
        <v/>
      </c>
    </row>
    <row r="303" spans="1:12">
      <c r="A303" s="12" t="str">
        <f t="shared" si="67"/>
        <v/>
      </c>
      <c r="B303" s="13" t="str">
        <f t="shared" si="56"/>
        <v/>
      </c>
      <c r="C303" s="14" t="str">
        <f t="shared" si="57"/>
        <v/>
      </c>
      <c r="D303" s="13" t="str">
        <f t="shared" si="58"/>
        <v/>
      </c>
      <c r="E303" s="14" t="str">
        <f t="shared" si="59"/>
        <v/>
      </c>
      <c r="F303" s="1" t="str">
        <f t="shared" si="60"/>
        <v/>
      </c>
      <c r="G303" s="1" t="str">
        <f t="shared" si="61"/>
        <v/>
      </c>
      <c r="H303" s="1" t="str">
        <f t="shared" si="62"/>
        <v/>
      </c>
      <c r="I303" s="1" t="str">
        <f t="shared" si="63"/>
        <v/>
      </c>
      <c r="J303" s="1" t="str">
        <f t="shared" si="64"/>
        <v/>
      </c>
      <c r="K303" s="1" t="str">
        <f t="shared" si="65"/>
        <v/>
      </c>
      <c r="L303" s="1" t="str">
        <f t="shared" si="66"/>
        <v/>
      </c>
    </row>
    <row r="304" spans="1:12">
      <c r="A304" s="12" t="str">
        <f t="shared" si="67"/>
        <v/>
      </c>
      <c r="B304" s="13" t="str">
        <f t="shared" si="56"/>
        <v/>
      </c>
      <c r="C304" s="14" t="str">
        <f t="shared" si="57"/>
        <v/>
      </c>
      <c r="D304" s="13" t="str">
        <f t="shared" si="58"/>
        <v/>
      </c>
      <c r="E304" s="14" t="str">
        <f t="shared" si="59"/>
        <v/>
      </c>
      <c r="F304" s="1" t="str">
        <f t="shared" si="60"/>
        <v/>
      </c>
      <c r="G304" s="1" t="str">
        <f t="shared" si="61"/>
        <v/>
      </c>
      <c r="H304" s="1" t="str">
        <f t="shared" si="62"/>
        <v/>
      </c>
      <c r="I304" s="1" t="str">
        <f t="shared" si="63"/>
        <v/>
      </c>
      <c r="J304" s="1" t="str">
        <f t="shared" si="64"/>
        <v/>
      </c>
      <c r="K304" s="1" t="str">
        <f t="shared" si="65"/>
        <v/>
      </c>
      <c r="L304" s="1" t="str">
        <f t="shared" si="66"/>
        <v/>
      </c>
    </row>
    <row r="305" spans="1:12">
      <c r="A305" s="12" t="str">
        <f t="shared" si="67"/>
        <v/>
      </c>
      <c r="B305" s="13" t="str">
        <f t="shared" si="56"/>
        <v/>
      </c>
      <c r="C305" s="14" t="str">
        <f t="shared" si="57"/>
        <v/>
      </c>
      <c r="D305" s="13" t="str">
        <f t="shared" si="58"/>
        <v/>
      </c>
      <c r="E305" s="14" t="str">
        <f t="shared" si="59"/>
        <v/>
      </c>
      <c r="F305" s="1" t="str">
        <f t="shared" si="60"/>
        <v/>
      </c>
      <c r="G305" s="1" t="str">
        <f t="shared" si="61"/>
        <v/>
      </c>
      <c r="H305" s="1" t="str">
        <f t="shared" si="62"/>
        <v/>
      </c>
      <c r="I305" s="1" t="str">
        <f t="shared" si="63"/>
        <v/>
      </c>
      <c r="J305" s="1" t="str">
        <f t="shared" si="64"/>
        <v/>
      </c>
      <c r="K305" s="1" t="str">
        <f t="shared" si="65"/>
        <v/>
      </c>
      <c r="L305" s="1" t="str">
        <f t="shared" si="66"/>
        <v/>
      </c>
    </row>
    <row r="306" spans="1:12">
      <c r="A306" s="12" t="str">
        <f t="shared" si="67"/>
        <v/>
      </c>
      <c r="B306" s="13" t="str">
        <f t="shared" si="56"/>
        <v/>
      </c>
      <c r="C306" s="14" t="str">
        <f t="shared" si="57"/>
        <v/>
      </c>
      <c r="D306" s="13" t="str">
        <f t="shared" si="58"/>
        <v/>
      </c>
      <c r="E306" s="14" t="str">
        <f t="shared" si="59"/>
        <v/>
      </c>
      <c r="F306" s="1" t="str">
        <f t="shared" si="60"/>
        <v/>
      </c>
      <c r="G306" s="1" t="str">
        <f t="shared" si="61"/>
        <v/>
      </c>
      <c r="H306" s="1" t="str">
        <f t="shared" si="62"/>
        <v/>
      </c>
      <c r="I306" s="1" t="str">
        <f t="shared" si="63"/>
        <v/>
      </c>
      <c r="J306" s="1" t="str">
        <f t="shared" si="64"/>
        <v/>
      </c>
      <c r="K306" s="1" t="str">
        <f t="shared" si="65"/>
        <v/>
      </c>
      <c r="L306" s="1" t="str">
        <f t="shared" si="66"/>
        <v/>
      </c>
    </row>
    <row r="307" spans="1:12">
      <c r="A307" s="12" t="str">
        <f t="shared" si="67"/>
        <v/>
      </c>
      <c r="B307" s="13" t="str">
        <f t="shared" si="56"/>
        <v/>
      </c>
      <c r="C307" s="14" t="str">
        <f t="shared" si="57"/>
        <v/>
      </c>
      <c r="D307" s="13" t="str">
        <f t="shared" si="58"/>
        <v/>
      </c>
      <c r="E307" s="14" t="str">
        <f t="shared" si="59"/>
        <v/>
      </c>
      <c r="F307" s="1" t="str">
        <f t="shared" si="60"/>
        <v/>
      </c>
      <c r="G307" s="1" t="str">
        <f t="shared" si="61"/>
        <v/>
      </c>
      <c r="H307" s="1" t="str">
        <f t="shared" si="62"/>
        <v/>
      </c>
      <c r="I307" s="1" t="str">
        <f t="shared" si="63"/>
        <v/>
      </c>
      <c r="J307" s="1" t="str">
        <f t="shared" si="64"/>
        <v/>
      </c>
      <c r="K307" s="1" t="str">
        <f t="shared" si="65"/>
        <v/>
      </c>
      <c r="L307" s="1" t="str">
        <f t="shared" si="66"/>
        <v/>
      </c>
    </row>
    <row r="308" spans="1:12">
      <c r="A308" s="12" t="str">
        <f t="shared" si="67"/>
        <v/>
      </c>
      <c r="B308" s="13" t="str">
        <f t="shared" si="56"/>
        <v/>
      </c>
      <c r="C308" s="14" t="str">
        <f t="shared" si="57"/>
        <v/>
      </c>
      <c r="D308" s="13" t="str">
        <f t="shared" si="58"/>
        <v/>
      </c>
      <c r="E308" s="14" t="str">
        <f t="shared" si="59"/>
        <v/>
      </c>
      <c r="F308" s="1" t="str">
        <f t="shared" si="60"/>
        <v/>
      </c>
      <c r="G308" s="1" t="str">
        <f t="shared" si="61"/>
        <v/>
      </c>
      <c r="H308" s="1" t="str">
        <f t="shared" si="62"/>
        <v/>
      </c>
      <c r="I308" s="1" t="str">
        <f t="shared" si="63"/>
        <v/>
      </c>
      <c r="J308" s="1" t="str">
        <f t="shared" si="64"/>
        <v/>
      </c>
      <c r="K308" s="1" t="str">
        <f t="shared" si="65"/>
        <v/>
      </c>
      <c r="L308" s="1" t="str">
        <f t="shared" si="66"/>
        <v/>
      </c>
    </row>
    <row r="309" spans="1:12">
      <c r="A309" s="12" t="str">
        <f t="shared" si="67"/>
        <v/>
      </c>
      <c r="B309" s="13" t="str">
        <f t="shared" si="56"/>
        <v/>
      </c>
      <c r="C309" s="14" t="str">
        <f t="shared" si="57"/>
        <v/>
      </c>
      <c r="D309" s="13" t="str">
        <f t="shared" si="58"/>
        <v/>
      </c>
      <c r="E309" s="14" t="str">
        <f t="shared" si="59"/>
        <v/>
      </c>
      <c r="F309" s="1" t="str">
        <f t="shared" si="60"/>
        <v/>
      </c>
      <c r="G309" s="1" t="str">
        <f t="shared" si="61"/>
        <v/>
      </c>
      <c r="H309" s="1" t="str">
        <f t="shared" si="62"/>
        <v/>
      </c>
      <c r="I309" s="1" t="str">
        <f t="shared" si="63"/>
        <v/>
      </c>
      <c r="J309" s="1" t="str">
        <f t="shared" si="64"/>
        <v/>
      </c>
      <c r="K309" s="1" t="str">
        <f t="shared" si="65"/>
        <v/>
      </c>
      <c r="L309" s="1" t="str">
        <f t="shared" si="66"/>
        <v/>
      </c>
    </row>
    <row r="310" spans="1:12">
      <c r="A310" s="12" t="str">
        <f t="shared" si="67"/>
        <v/>
      </c>
      <c r="B310" s="13" t="str">
        <f t="shared" si="56"/>
        <v/>
      </c>
      <c r="C310" s="14" t="str">
        <f t="shared" si="57"/>
        <v/>
      </c>
      <c r="D310" s="13" t="str">
        <f t="shared" si="58"/>
        <v/>
      </c>
      <c r="E310" s="14" t="str">
        <f t="shared" si="59"/>
        <v/>
      </c>
      <c r="F310" s="1" t="str">
        <f t="shared" si="60"/>
        <v/>
      </c>
      <c r="G310" s="1" t="str">
        <f t="shared" si="61"/>
        <v/>
      </c>
      <c r="H310" s="1" t="str">
        <f t="shared" si="62"/>
        <v/>
      </c>
      <c r="I310" s="1" t="str">
        <f t="shared" si="63"/>
        <v/>
      </c>
      <c r="J310" s="1" t="str">
        <f t="shared" si="64"/>
        <v/>
      </c>
      <c r="K310" s="1" t="str">
        <f t="shared" si="65"/>
        <v/>
      </c>
      <c r="L310" s="1" t="str">
        <f t="shared" si="66"/>
        <v/>
      </c>
    </row>
    <row r="311" spans="1:12">
      <c r="A311" s="12" t="str">
        <f t="shared" si="67"/>
        <v/>
      </c>
      <c r="B311" s="13" t="str">
        <f t="shared" si="56"/>
        <v/>
      </c>
      <c r="C311" s="14" t="str">
        <f t="shared" si="57"/>
        <v/>
      </c>
      <c r="D311" s="13" t="str">
        <f t="shared" si="58"/>
        <v/>
      </c>
      <c r="E311" s="14" t="str">
        <f t="shared" si="59"/>
        <v/>
      </c>
      <c r="F311" s="1" t="str">
        <f t="shared" si="60"/>
        <v/>
      </c>
      <c r="G311" s="1" t="str">
        <f t="shared" si="61"/>
        <v/>
      </c>
      <c r="H311" s="1" t="str">
        <f t="shared" si="62"/>
        <v/>
      </c>
      <c r="I311" s="1" t="str">
        <f t="shared" si="63"/>
        <v/>
      </c>
      <c r="J311" s="1" t="str">
        <f t="shared" si="64"/>
        <v/>
      </c>
      <c r="K311" s="1" t="str">
        <f t="shared" si="65"/>
        <v/>
      </c>
      <c r="L311" s="1" t="str">
        <f t="shared" si="66"/>
        <v/>
      </c>
    </row>
    <row r="312" spans="1:12">
      <c r="A312" s="12" t="str">
        <f t="shared" si="67"/>
        <v/>
      </c>
      <c r="B312" s="13" t="str">
        <f t="shared" si="56"/>
        <v/>
      </c>
      <c r="C312" s="14" t="str">
        <f t="shared" si="57"/>
        <v/>
      </c>
      <c r="D312" s="13" t="str">
        <f t="shared" si="58"/>
        <v/>
      </c>
      <c r="E312" s="14" t="str">
        <f t="shared" si="59"/>
        <v/>
      </c>
      <c r="F312" s="1" t="str">
        <f t="shared" si="60"/>
        <v/>
      </c>
      <c r="G312" s="1" t="str">
        <f t="shared" si="61"/>
        <v/>
      </c>
      <c r="H312" s="1" t="str">
        <f t="shared" si="62"/>
        <v/>
      </c>
      <c r="I312" s="1" t="str">
        <f t="shared" si="63"/>
        <v/>
      </c>
      <c r="J312" s="1" t="str">
        <f t="shared" si="64"/>
        <v/>
      </c>
      <c r="K312" s="1" t="str">
        <f t="shared" si="65"/>
        <v/>
      </c>
      <c r="L312" s="1" t="str">
        <f t="shared" si="66"/>
        <v/>
      </c>
    </row>
    <row r="313" spans="1:12">
      <c r="A313" s="12" t="str">
        <f t="shared" si="67"/>
        <v/>
      </c>
      <c r="B313" s="13" t="str">
        <f t="shared" si="56"/>
        <v/>
      </c>
      <c r="C313" s="14" t="str">
        <f t="shared" si="57"/>
        <v/>
      </c>
      <c r="D313" s="13" t="str">
        <f t="shared" si="58"/>
        <v/>
      </c>
      <c r="E313" s="14" t="str">
        <f t="shared" si="59"/>
        <v/>
      </c>
      <c r="F313" s="1" t="str">
        <f t="shared" si="60"/>
        <v/>
      </c>
      <c r="G313" s="1" t="str">
        <f t="shared" si="61"/>
        <v/>
      </c>
      <c r="H313" s="1" t="str">
        <f t="shared" si="62"/>
        <v/>
      </c>
      <c r="I313" s="1" t="str">
        <f t="shared" si="63"/>
        <v/>
      </c>
      <c r="J313" s="1" t="str">
        <f t="shared" si="64"/>
        <v/>
      </c>
      <c r="K313" s="1" t="str">
        <f t="shared" si="65"/>
        <v/>
      </c>
      <c r="L313" s="1" t="str">
        <f t="shared" si="66"/>
        <v/>
      </c>
    </row>
    <row r="314" spans="1:12">
      <c r="A314" s="12" t="str">
        <f t="shared" si="67"/>
        <v/>
      </c>
      <c r="B314" s="13" t="str">
        <f t="shared" si="56"/>
        <v/>
      </c>
      <c r="C314" s="14" t="str">
        <f t="shared" si="57"/>
        <v/>
      </c>
      <c r="D314" s="13" t="str">
        <f t="shared" si="58"/>
        <v/>
      </c>
      <c r="E314" s="14" t="str">
        <f t="shared" si="59"/>
        <v/>
      </c>
      <c r="F314" s="1" t="str">
        <f t="shared" si="60"/>
        <v/>
      </c>
      <c r="G314" s="1" t="str">
        <f t="shared" si="61"/>
        <v/>
      </c>
      <c r="H314" s="1" t="str">
        <f t="shared" si="62"/>
        <v/>
      </c>
      <c r="I314" s="1" t="str">
        <f t="shared" si="63"/>
        <v/>
      </c>
      <c r="J314" s="1" t="str">
        <f t="shared" si="64"/>
        <v/>
      </c>
      <c r="K314" s="1" t="str">
        <f t="shared" si="65"/>
        <v/>
      </c>
      <c r="L314" s="1" t="str">
        <f t="shared" si="66"/>
        <v/>
      </c>
    </row>
    <row r="315" spans="1:12">
      <c r="A315" s="12" t="str">
        <f t="shared" si="67"/>
        <v/>
      </c>
      <c r="B315" s="13" t="str">
        <f t="shared" si="56"/>
        <v/>
      </c>
      <c r="C315" s="14" t="str">
        <f t="shared" si="57"/>
        <v/>
      </c>
      <c r="D315" s="13" t="str">
        <f t="shared" si="58"/>
        <v/>
      </c>
      <c r="E315" s="14" t="str">
        <f t="shared" si="59"/>
        <v/>
      </c>
      <c r="F315" s="1" t="str">
        <f t="shared" si="60"/>
        <v/>
      </c>
      <c r="G315" s="1" t="str">
        <f t="shared" si="61"/>
        <v/>
      </c>
      <c r="H315" s="1" t="str">
        <f t="shared" si="62"/>
        <v/>
      </c>
      <c r="I315" s="1" t="str">
        <f t="shared" si="63"/>
        <v/>
      </c>
      <c r="J315" s="1" t="str">
        <f t="shared" si="64"/>
        <v/>
      </c>
      <c r="K315" s="1" t="str">
        <f t="shared" si="65"/>
        <v/>
      </c>
      <c r="L315" s="1" t="str">
        <f t="shared" si="66"/>
        <v/>
      </c>
    </row>
    <row r="316" spans="1:12">
      <c r="A316" s="12" t="str">
        <f t="shared" si="67"/>
        <v/>
      </c>
      <c r="B316" s="13" t="str">
        <f t="shared" si="56"/>
        <v/>
      </c>
      <c r="C316" s="14" t="str">
        <f t="shared" si="57"/>
        <v/>
      </c>
      <c r="D316" s="13" t="str">
        <f t="shared" si="58"/>
        <v/>
      </c>
      <c r="E316" s="14" t="str">
        <f t="shared" si="59"/>
        <v/>
      </c>
      <c r="F316" s="1" t="str">
        <f t="shared" si="60"/>
        <v/>
      </c>
      <c r="G316" s="1" t="str">
        <f t="shared" si="61"/>
        <v/>
      </c>
      <c r="H316" s="1" t="str">
        <f t="shared" si="62"/>
        <v/>
      </c>
      <c r="I316" s="1" t="str">
        <f t="shared" si="63"/>
        <v/>
      </c>
      <c r="J316" s="1" t="str">
        <f t="shared" si="64"/>
        <v/>
      </c>
      <c r="K316" s="1" t="str">
        <f t="shared" si="65"/>
        <v/>
      </c>
      <c r="L316" s="1" t="str">
        <f t="shared" si="66"/>
        <v/>
      </c>
    </row>
    <row r="317" spans="1:12">
      <c r="A317" s="12" t="str">
        <f t="shared" si="67"/>
        <v/>
      </c>
      <c r="B317" s="13" t="str">
        <f t="shared" si="56"/>
        <v/>
      </c>
      <c r="C317" s="14" t="str">
        <f t="shared" si="57"/>
        <v/>
      </c>
      <c r="D317" s="13" t="str">
        <f t="shared" si="58"/>
        <v/>
      </c>
      <c r="E317" s="14" t="str">
        <f t="shared" si="59"/>
        <v/>
      </c>
      <c r="F317" s="1" t="str">
        <f t="shared" si="60"/>
        <v/>
      </c>
      <c r="G317" s="1" t="str">
        <f t="shared" si="61"/>
        <v/>
      </c>
      <c r="H317" s="1" t="str">
        <f t="shared" si="62"/>
        <v/>
      </c>
      <c r="I317" s="1" t="str">
        <f t="shared" si="63"/>
        <v/>
      </c>
      <c r="J317" s="1" t="str">
        <f t="shared" si="64"/>
        <v/>
      </c>
      <c r="K317" s="1" t="str">
        <f t="shared" si="65"/>
        <v/>
      </c>
      <c r="L317" s="1" t="str">
        <f t="shared" si="66"/>
        <v/>
      </c>
    </row>
    <row r="318" spans="1:12">
      <c r="A318" s="12" t="str">
        <f t="shared" si="67"/>
        <v/>
      </c>
      <c r="B318" s="13" t="str">
        <f t="shared" si="56"/>
        <v/>
      </c>
      <c r="C318" s="14" t="str">
        <f t="shared" si="57"/>
        <v/>
      </c>
      <c r="D318" s="13" t="str">
        <f t="shared" si="58"/>
        <v/>
      </c>
      <c r="E318" s="14" t="str">
        <f t="shared" si="59"/>
        <v/>
      </c>
      <c r="F318" s="1" t="str">
        <f t="shared" si="60"/>
        <v/>
      </c>
      <c r="G318" s="1" t="str">
        <f t="shared" si="61"/>
        <v/>
      </c>
      <c r="H318" s="1" t="str">
        <f t="shared" si="62"/>
        <v/>
      </c>
      <c r="I318" s="1" t="str">
        <f t="shared" si="63"/>
        <v/>
      </c>
      <c r="J318" s="1" t="str">
        <f t="shared" si="64"/>
        <v/>
      </c>
      <c r="K318" s="1" t="str">
        <f t="shared" si="65"/>
        <v/>
      </c>
      <c r="L318" s="1" t="str">
        <f t="shared" si="66"/>
        <v/>
      </c>
    </row>
    <row r="319" spans="1:12">
      <c r="A319" s="12" t="str">
        <f t="shared" si="67"/>
        <v/>
      </c>
      <c r="B319" s="13" t="str">
        <f t="shared" si="56"/>
        <v/>
      </c>
      <c r="C319" s="14" t="str">
        <f t="shared" si="57"/>
        <v/>
      </c>
      <c r="D319" s="13" t="str">
        <f t="shared" si="58"/>
        <v/>
      </c>
      <c r="E319" s="14" t="str">
        <f t="shared" si="59"/>
        <v/>
      </c>
      <c r="F319" s="1" t="str">
        <f t="shared" si="60"/>
        <v/>
      </c>
      <c r="G319" s="1" t="str">
        <f t="shared" si="61"/>
        <v/>
      </c>
      <c r="H319" s="1" t="str">
        <f t="shared" si="62"/>
        <v/>
      </c>
      <c r="I319" s="1" t="str">
        <f t="shared" si="63"/>
        <v/>
      </c>
      <c r="J319" s="1" t="str">
        <f t="shared" si="64"/>
        <v/>
      </c>
      <c r="K319" s="1" t="str">
        <f t="shared" si="65"/>
        <v/>
      </c>
      <c r="L319" s="1" t="str">
        <f t="shared" si="66"/>
        <v/>
      </c>
    </row>
    <row r="320" spans="1:12">
      <c r="A320" s="12" t="str">
        <f t="shared" si="67"/>
        <v/>
      </c>
      <c r="B320" s="13" t="str">
        <f t="shared" si="56"/>
        <v/>
      </c>
      <c r="C320" s="14" t="str">
        <f t="shared" si="57"/>
        <v/>
      </c>
      <c r="D320" s="13" t="str">
        <f t="shared" si="58"/>
        <v/>
      </c>
      <c r="E320" s="14" t="str">
        <f t="shared" si="59"/>
        <v/>
      </c>
      <c r="F320" s="1" t="str">
        <f t="shared" si="60"/>
        <v/>
      </c>
      <c r="G320" s="1" t="str">
        <f t="shared" si="61"/>
        <v/>
      </c>
      <c r="H320" s="1" t="str">
        <f t="shared" si="62"/>
        <v/>
      </c>
      <c r="I320" s="1" t="str">
        <f t="shared" si="63"/>
        <v/>
      </c>
      <c r="J320" s="1" t="str">
        <f t="shared" si="64"/>
        <v/>
      </c>
      <c r="K320" s="1" t="str">
        <f t="shared" si="65"/>
        <v/>
      </c>
      <c r="L320" s="1" t="str">
        <f t="shared" si="66"/>
        <v/>
      </c>
    </row>
    <row r="321" spans="1:12">
      <c r="A321" s="12" t="str">
        <f t="shared" si="67"/>
        <v/>
      </c>
      <c r="B321" s="13" t="str">
        <f t="shared" si="56"/>
        <v/>
      </c>
      <c r="C321" s="14" t="str">
        <f t="shared" si="57"/>
        <v/>
      </c>
      <c r="D321" s="13" t="str">
        <f t="shared" si="58"/>
        <v/>
      </c>
      <c r="E321" s="14" t="str">
        <f t="shared" si="59"/>
        <v/>
      </c>
      <c r="F321" s="1" t="str">
        <f t="shared" si="60"/>
        <v/>
      </c>
      <c r="G321" s="1" t="str">
        <f t="shared" si="61"/>
        <v/>
      </c>
      <c r="H321" s="1" t="str">
        <f t="shared" si="62"/>
        <v/>
      </c>
      <c r="I321" s="1" t="str">
        <f t="shared" si="63"/>
        <v/>
      </c>
      <c r="J321" s="1" t="str">
        <f t="shared" si="64"/>
        <v/>
      </c>
      <c r="K321" s="1" t="str">
        <f t="shared" si="65"/>
        <v/>
      </c>
      <c r="L321" s="1" t="str">
        <f t="shared" si="66"/>
        <v/>
      </c>
    </row>
    <row r="322" spans="1:12">
      <c r="A322" s="12" t="str">
        <f t="shared" si="67"/>
        <v/>
      </c>
      <c r="B322" s="13" t="str">
        <f t="shared" si="56"/>
        <v/>
      </c>
      <c r="C322" s="14" t="str">
        <f t="shared" si="57"/>
        <v/>
      </c>
      <c r="D322" s="13" t="str">
        <f t="shared" si="58"/>
        <v/>
      </c>
      <c r="E322" s="14" t="str">
        <f t="shared" si="59"/>
        <v/>
      </c>
      <c r="F322" s="1" t="str">
        <f t="shared" si="60"/>
        <v/>
      </c>
      <c r="G322" s="1" t="str">
        <f t="shared" si="61"/>
        <v/>
      </c>
      <c r="H322" s="1" t="str">
        <f t="shared" si="62"/>
        <v/>
      </c>
      <c r="I322" s="1" t="str">
        <f t="shared" si="63"/>
        <v/>
      </c>
      <c r="J322" s="1" t="str">
        <f t="shared" si="64"/>
        <v/>
      </c>
      <c r="K322" s="1" t="str">
        <f t="shared" si="65"/>
        <v/>
      </c>
      <c r="L322" s="1" t="str">
        <f t="shared" si="66"/>
        <v/>
      </c>
    </row>
    <row r="323" spans="1:12">
      <c r="A323" s="12" t="str">
        <f t="shared" si="67"/>
        <v/>
      </c>
      <c r="B323" s="13" t="str">
        <f t="shared" si="56"/>
        <v/>
      </c>
      <c r="C323" s="14" t="str">
        <f t="shared" si="57"/>
        <v/>
      </c>
      <c r="D323" s="13" t="str">
        <f t="shared" si="58"/>
        <v/>
      </c>
      <c r="E323" s="14" t="str">
        <f t="shared" si="59"/>
        <v/>
      </c>
      <c r="F323" s="1" t="str">
        <f t="shared" si="60"/>
        <v/>
      </c>
      <c r="G323" s="1" t="str">
        <f t="shared" si="61"/>
        <v/>
      </c>
      <c r="H323" s="1" t="str">
        <f t="shared" si="62"/>
        <v/>
      </c>
      <c r="I323" s="1" t="str">
        <f t="shared" si="63"/>
        <v/>
      </c>
      <c r="J323" s="1" t="str">
        <f t="shared" si="64"/>
        <v/>
      </c>
      <c r="K323" s="1" t="str">
        <f t="shared" si="65"/>
        <v/>
      </c>
      <c r="L323" s="1" t="str">
        <f t="shared" si="66"/>
        <v/>
      </c>
    </row>
    <row r="324" spans="1:12">
      <c r="A324" s="12" t="str">
        <f t="shared" si="67"/>
        <v/>
      </c>
      <c r="B324" s="13" t="str">
        <f t="shared" si="56"/>
        <v/>
      </c>
      <c r="C324" s="14" t="str">
        <f t="shared" si="57"/>
        <v/>
      </c>
      <c r="D324" s="13" t="str">
        <f t="shared" si="58"/>
        <v/>
      </c>
      <c r="E324" s="14" t="str">
        <f t="shared" si="59"/>
        <v/>
      </c>
      <c r="F324" s="1" t="str">
        <f t="shared" si="60"/>
        <v/>
      </c>
      <c r="G324" s="1" t="str">
        <f t="shared" si="61"/>
        <v/>
      </c>
      <c r="H324" s="1" t="str">
        <f t="shared" si="62"/>
        <v/>
      </c>
      <c r="I324" s="1" t="str">
        <f t="shared" si="63"/>
        <v/>
      </c>
      <c r="J324" s="1" t="str">
        <f t="shared" si="64"/>
        <v/>
      </c>
      <c r="K324" s="1" t="str">
        <f t="shared" si="65"/>
        <v/>
      </c>
      <c r="L324" s="1" t="str">
        <f t="shared" si="66"/>
        <v/>
      </c>
    </row>
    <row r="325" spans="1:12">
      <c r="A325" s="12" t="str">
        <f t="shared" si="67"/>
        <v/>
      </c>
      <c r="B325" s="13" t="str">
        <f t="shared" si="56"/>
        <v/>
      </c>
      <c r="C325" s="14" t="str">
        <f t="shared" si="57"/>
        <v/>
      </c>
      <c r="D325" s="13" t="str">
        <f t="shared" si="58"/>
        <v/>
      </c>
      <c r="E325" s="14" t="str">
        <f t="shared" si="59"/>
        <v/>
      </c>
      <c r="F325" s="1" t="str">
        <f t="shared" si="60"/>
        <v/>
      </c>
      <c r="G325" s="1" t="str">
        <f t="shared" si="61"/>
        <v/>
      </c>
      <c r="H325" s="1" t="str">
        <f t="shared" si="62"/>
        <v/>
      </c>
      <c r="I325" s="1" t="str">
        <f t="shared" si="63"/>
        <v/>
      </c>
      <c r="J325" s="1" t="str">
        <f t="shared" si="64"/>
        <v/>
      </c>
      <c r="K325" s="1" t="str">
        <f t="shared" si="65"/>
        <v/>
      </c>
      <c r="L325" s="1" t="str">
        <f t="shared" si="66"/>
        <v/>
      </c>
    </row>
    <row r="326" spans="1:12">
      <c r="A326" s="12" t="str">
        <f t="shared" si="67"/>
        <v/>
      </c>
      <c r="B326" s="13" t="str">
        <f t="shared" si="56"/>
        <v/>
      </c>
      <c r="C326" s="14" t="str">
        <f t="shared" si="57"/>
        <v/>
      </c>
      <c r="D326" s="13" t="str">
        <f t="shared" si="58"/>
        <v/>
      </c>
      <c r="E326" s="14" t="str">
        <f t="shared" si="59"/>
        <v/>
      </c>
      <c r="F326" s="1" t="str">
        <f t="shared" si="60"/>
        <v/>
      </c>
      <c r="G326" s="1" t="str">
        <f t="shared" si="61"/>
        <v/>
      </c>
      <c r="H326" s="1" t="str">
        <f t="shared" si="62"/>
        <v/>
      </c>
      <c r="I326" s="1" t="str">
        <f t="shared" si="63"/>
        <v/>
      </c>
      <c r="J326" s="1" t="str">
        <f t="shared" si="64"/>
        <v/>
      </c>
      <c r="K326" s="1" t="str">
        <f t="shared" si="65"/>
        <v/>
      </c>
      <c r="L326" s="1" t="str">
        <f t="shared" si="66"/>
        <v/>
      </c>
    </row>
    <row r="327" spans="1:12">
      <c r="A327" s="12" t="str">
        <f t="shared" si="67"/>
        <v/>
      </c>
      <c r="B327" s="13" t="str">
        <f t="shared" si="56"/>
        <v/>
      </c>
      <c r="C327" s="14" t="str">
        <f t="shared" si="57"/>
        <v/>
      </c>
      <c r="D327" s="13" t="str">
        <f t="shared" si="58"/>
        <v/>
      </c>
      <c r="E327" s="14" t="str">
        <f t="shared" si="59"/>
        <v/>
      </c>
      <c r="F327" s="1" t="str">
        <f t="shared" si="60"/>
        <v/>
      </c>
      <c r="G327" s="1" t="str">
        <f t="shared" si="61"/>
        <v/>
      </c>
      <c r="H327" s="1" t="str">
        <f t="shared" si="62"/>
        <v/>
      </c>
      <c r="I327" s="1" t="str">
        <f t="shared" si="63"/>
        <v/>
      </c>
      <c r="J327" s="1" t="str">
        <f t="shared" si="64"/>
        <v/>
      </c>
      <c r="K327" s="1" t="str">
        <f t="shared" si="65"/>
        <v/>
      </c>
      <c r="L327" s="1" t="str">
        <f t="shared" si="66"/>
        <v/>
      </c>
    </row>
    <row r="328" spans="1:12">
      <c r="A328" s="12" t="str">
        <f t="shared" si="67"/>
        <v/>
      </c>
      <c r="B328" s="13" t="str">
        <f t="shared" si="56"/>
        <v/>
      </c>
      <c r="C328" s="14" t="str">
        <f t="shared" si="57"/>
        <v/>
      </c>
      <c r="D328" s="13" t="str">
        <f t="shared" si="58"/>
        <v/>
      </c>
      <c r="E328" s="14" t="str">
        <f t="shared" si="59"/>
        <v/>
      </c>
      <c r="F328" s="1" t="str">
        <f t="shared" si="60"/>
        <v/>
      </c>
      <c r="G328" s="1" t="str">
        <f t="shared" si="61"/>
        <v/>
      </c>
      <c r="H328" s="1" t="str">
        <f t="shared" si="62"/>
        <v/>
      </c>
      <c r="I328" s="1" t="str">
        <f t="shared" si="63"/>
        <v/>
      </c>
      <c r="J328" s="1" t="str">
        <f t="shared" si="64"/>
        <v/>
      </c>
      <c r="K328" s="1" t="str">
        <f t="shared" si="65"/>
        <v/>
      </c>
      <c r="L328" s="1" t="str">
        <f t="shared" si="66"/>
        <v/>
      </c>
    </row>
    <row r="329" spans="1:12">
      <c r="A329" s="12" t="str">
        <f t="shared" si="67"/>
        <v/>
      </c>
      <c r="B329" s="13" t="str">
        <f t="shared" si="56"/>
        <v/>
      </c>
      <c r="C329" s="14" t="str">
        <f t="shared" si="57"/>
        <v/>
      </c>
      <c r="D329" s="13" t="str">
        <f t="shared" si="58"/>
        <v/>
      </c>
      <c r="E329" s="14" t="str">
        <f t="shared" si="59"/>
        <v/>
      </c>
      <c r="F329" s="1" t="str">
        <f t="shared" si="60"/>
        <v/>
      </c>
      <c r="G329" s="1" t="str">
        <f t="shared" si="61"/>
        <v/>
      </c>
      <c r="H329" s="1" t="str">
        <f t="shared" si="62"/>
        <v/>
      </c>
      <c r="I329" s="1" t="str">
        <f t="shared" si="63"/>
        <v/>
      </c>
      <c r="J329" s="1" t="str">
        <f t="shared" si="64"/>
        <v/>
      </c>
      <c r="K329" s="1" t="str">
        <f t="shared" si="65"/>
        <v/>
      </c>
      <c r="L329" s="1" t="str">
        <f t="shared" si="66"/>
        <v/>
      </c>
    </row>
    <row r="330" spans="1:12">
      <c r="A330" s="12" t="str">
        <f t="shared" si="67"/>
        <v/>
      </c>
      <c r="B330" s="13" t="str">
        <f t="shared" si="56"/>
        <v/>
      </c>
      <c r="C330" s="14" t="str">
        <f t="shared" si="57"/>
        <v/>
      </c>
      <c r="D330" s="13" t="str">
        <f t="shared" si="58"/>
        <v/>
      </c>
      <c r="E330" s="14" t="str">
        <f t="shared" si="59"/>
        <v/>
      </c>
      <c r="F330" s="1" t="str">
        <f t="shared" si="60"/>
        <v/>
      </c>
      <c r="G330" s="1" t="str">
        <f t="shared" si="61"/>
        <v/>
      </c>
      <c r="H330" s="1" t="str">
        <f t="shared" si="62"/>
        <v/>
      </c>
      <c r="I330" s="1" t="str">
        <f t="shared" si="63"/>
        <v/>
      </c>
      <c r="J330" s="1" t="str">
        <f t="shared" si="64"/>
        <v/>
      </c>
      <c r="K330" s="1" t="str">
        <f t="shared" si="65"/>
        <v/>
      </c>
      <c r="L330" s="1" t="str">
        <f t="shared" si="66"/>
        <v/>
      </c>
    </row>
    <row r="331" spans="1:12">
      <c r="A331" s="12" t="str">
        <f t="shared" si="67"/>
        <v/>
      </c>
      <c r="B331" s="13" t="str">
        <f t="shared" si="56"/>
        <v/>
      </c>
      <c r="C331" s="14" t="str">
        <f t="shared" si="57"/>
        <v/>
      </c>
      <c r="D331" s="13" t="str">
        <f t="shared" si="58"/>
        <v/>
      </c>
      <c r="E331" s="14" t="str">
        <f t="shared" si="59"/>
        <v/>
      </c>
      <c r="F331" s="1" t="str">
        <f t="shared" si="60"/>
        <v/>
      </c>
      <c r="G331" s="1" t="str">
        <f t="shared" si="61"/>
        <v/>
      </c>
      <c r="H331" s="1" t="str">
        <f t="shared" si="62"/>
        <v/>
      </c>
      <c r="I331" s="1" t="str">
        <f t="shared" si="63"/>
        <v/>
      </c>
      <c r="J331" s="1" t="str">
        <f t="shared" si="64"/>
        <v/>
      </c>
      <c r="K331" s="1" t="str">
        <f t="shared" si="65"/>
        <v/>
      </c>
      <c r="L331" s="1" t="str">
        <f t="shared" si="66"/>
        <v/>
      </c>
    </row>
    <row r="332" spans="1:12">
      <c r="A332" s="12" t="str">
        <f t="shared" si="67"/>
        <v/>
      </c>
      <c r="B332" s="13" t="str">
        <f t="shared" si="56"/>
        <v/>
      </c>
      <c r="C332" s="14" t="str">
        <f t="shared" si="57"/>
        <v/>
      </c>
      <c r="D332" s="13" t="str">
        <f t="shared" si="58"/>
        <v/>
      </c>
      <c r="E332" s="14" t="str">
        <f t="shared" si="59"/>
        <v/>
      </c>
      <c r="F332" s="1" t="str">
        <f t="shared" si="60"/>
        <v/>
      </c>
      <c r="G332" s="1" t="str">
        <f t="shared" si="61"/>
        <v/>
      </c>
      <c r="H332" s="1" t="str">
        <f t="shared" si="62"/>
        <v/>
      </c>
      <c r="I332" s="1" t="str">
        <f t="shared" si="63"/>
        <v/>
      </c>
      <c r="J332" s="1" t="str">
        <f t="shared" si="64"/>
        <v/>
      </c>
      <c r="K332" s="1" t="str">
        <f t="shared" si="65"/>
        <v/>
      </c>
      <c r="L332" s="1" t="str">
        <f t="shared" si="66"/>
        <v/>
      </c>
    </row>
    <row r="333" spans="1:12">
      <c r="A333" s="12" t="str">
        <f t="shared" si="67"/>
        <v/>
      </c>
      <c r="B333" s="13" t="str">
        <f t="shared" si="56"/>
        <v/>
      </c>
      <c r="C333" s="14" t="str">
        <f t="shared" si="57"/>
        <v/>
      </c>
      <c r="D333" s="13" t="str">
        <f t="shared" si="58"/>
        <v/>
      </c>
      <c r="E333" s="14" t="str">
        <f t="shared" si="59"/>
        <v/>
      </c>
      <c r="F333" s="1" t="str">
        <f t="shared" si="60"/>
        <v/>
      </c>
      <c r="G333" s="1" t="str">
        <f t="shared" si="61"/>
        <v/>
      </c>
      <c r="H333" s="1" t="str">
        <f t="shared" si="62"/>
        <v/>
      </c>
      <c r="I333" s="1" t="str">
        <f t="shared" si="63"/>
        <v/>
      </c>
      <c r="J333" s="1" t="str">
        <f t="shared" si="64"/>
        <v/>
      </c>
      <c r="K333" s="1" t="str">
        <f t="shared" si="65"/>
        <v/>
      </c>
      <c r="L333" s="1" t="str">
        <f t="shared" si="66"/>
        <v/>
      </c>
    </row>
    <row r="334" spans="1:12">
      <c r="A334" s="12" t="str">
        <f t="shared" si="67"/>
        <v/>
      </c>
      <c r="B334" s="13" t="str">
        <f t="shared" si="56"/>
        <v/>
      </c>
      <c r="C334" s="14" t="str">
        <f t="shared" si="57"/>
        <v/>
      </c>
      <c r="D334" s="13" t="str">
        <f t="shared" si="58"/>
        <v/>
      </c>
      <c r="E334" s="14" t="str">
        <f t="shared" si="59"/>
        <v/>
      </c>
      <c r="F334" s="1" t="str">
        <f t="shared" si="60"/>
        <v/>
      </c>
      <c r="G334" s="1" t="str">
        <f t="shared" si="61"/>
        <v/>
      </c>
      <c r="H334" s="1" t="str">
        <f t="shared" si="62"/>
        <v/>
      </c>
      <c r="I334" s="1" t="str">
        <f t="shared" si="63"/>
        <v/>
      </c>
      <c r="J334" s="1" t="str">
        <f t="shared" si="64"/>
        <v/>
      </c>
      <c r="K334" s="1" t="str">
        <f t="shared" si="65"/>
        <v/>
      </c>
      <c r="L334" s="1" t="str">
        <f t="shared" si="66"/>
        <v/>
      </c>
    </row>
    <row r="335" spans="1:12">
      <c r="A335" s="12" t="str">
        <f t="shared" si="67"/>
        <v/>
      </c>
      <c r="B335" s="13" t="str">
        <f t="shared" si="56"/>
        <v/>
      </c>
      <c r="C335" s="14" t="str">
        <f t="shared" si="57"/>
        <v/>
      </c>
      <c r="D335" s="13" t="str">
        <f t="shared" si="58"/>
        <v/>
      </c>
      <c r="E335" s="14" t="str">
        <f t="shared" si="59"/>
        <v/>
      </c>
      <c r="F335" s="1" t="str">
        <f t="shared" si="60"/>
        <v/>
      </c>
      <c r="G335" s="1" t="str">
        <f t="shared" si="61"/>
        <v/>
      </c>
      <c r="H335" s="1" t="str">
        <f t="shared" si="62"/>
        <v/>
      </c>
      <c r="I335" s="1" t="str">
        <f t="shared" si="63"/>
        <v/>
      </c>
      <c r="J335" s="1" t="str">
        <f t="shared" si="64"/>
        <v/>
      </c>
      <c r="K335" s="1" t="str">
        <f t="shared" si="65"/>
        <v/>
      </c>
      <c r="L335" s="1" t="str">
        <f t="shared" si="66"/>
        <v/>
      </c>
    </row>
    <row r="336" spans="1:12">
      <c r="A336" s="12" t="str">
        <f t="shared" si="67"/>
        <v/>
      </c>
      <c r="B336" s="13" t="str">
        <f t="shared" si="56"/>
        <v/>
      </c>
      <c r="C336" s="14" t="str">
        <f t="shared" si="57"/>
        <v/>
      </c>
      <c r="D336" s="13" t="str">
        <f t="shared" si="58"/>
        <v/>
      </c>
      <c r="E336" s="14" t="str">
        <f t="shared" si="59"/>
        <v/>
      </c>
      <c r="F336" s="1" t="str">
        <f t="shared" si="60"/>
        <v/>
      </c>
      <c r="G336" s="1" t="str">
        <f t="shared" si="61"/>
        <v/>
      </c>
      <c r="H336" s="1" t="str">
        <f t="shared" si="62"/>
        <v/>
      </c>
      <c r="I336" s="1" t="str">
        <f t="shared" si="63"/>
        <v/>
      </c>
      <c r="J336" s="1" t="str">
        <f t="shared" si="64"/>
        <v/>
      </c>
      <c r="K336" s="1" t="str">
        <f t="shared" si="65"/>
        <v/>
      </c>
      <c r="L336" s="1" t="str">
        <f t="shared" si="66"/>
        <v/>
      </c>
    </row>
    <row r="340" spans="1:6">
      <c r="A340" s="19" t="s">
        <v>58</v>
      </c>
      <c r="B340" s="17"/>
      <c r="C340" s="17"/>
      <c r="D340" s="17"/>
      <c r="E340" s="17"/>
      <c r="F340" s="17"/>
    </row>
  </sheetData>
  <mergeCells count="7">
    <mergeCell ref="D2:F2"/>
    <mergeCell ref="A35:E35"/>
    <mergeCell ref="A340:F340"/>
    <mergeCell ref="A1:F1"/>
    <mergeCell ref="A21:C21"/>
    <mergeCell ref="A12:C12"/>
    <mergeCell ref="A2:C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D84C-CD23-3B4B-99E0-DC0DBF99B5BA}">
  <dimension ref="A1"/>
  <sheetViews>
    <sheetView tabSelected="1" workbookViewId="0"/>
  </sheetViews>
  <sheetFormatPr baseColWidth="10"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Loop_BW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Staempfli,Daniel Jean,CH-VEVEY</cp:lastModifiedBy>
  <dcterms:created xsi:type="dcterms:W3CDTF">2025-12-29T18:00:00Z</dcterms:created>
  <dcterms:modified xsi:type="dcterms:W3CDTF">2025-12-29T18:55:09Z</dcterms:modified>
</cp:coreProperties>
</file>